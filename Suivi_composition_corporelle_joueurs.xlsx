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Joueurs" sheetId="1" r:id="rId1"/>
  </sheets>
  <calcPr calcId="0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6" formatCode="0.00"/>
  </numFmts>
  <fonts count="4">
    <font>
      <sz val="11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b/>
      <sz val="11"/>
      <color rgb="FF1F386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2E8B7A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>
      <alignment horizontal="center" vertical="center" wrapText="1"/>
    </xf>
    <xf numFmtId="0" fontId="2" fillId="2" borderId="1" xfId="0" applyFont="1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166" fontId="0" fillId="5" borderId="1" xfId="0" applyNumFmt="1" applyFill="1" applyBorder="1"/>
    <xf numFmtId="164" fontId="0" fillId="4" borderId="1" xfId="0" applyNumFmt="1" applyFill="1" applyBorder="1"/>
    <xf numFmtId="0" fontId="0" fillId="4" borderId="1" xfId="0" applyFill="1" applyBorder="1"/>
    <xf numFmtId="0" fontId="0" fillId="4" borderId="1" xfId="0" applyFill="1" applyBorder="1"/>
    <xf numFmtId="166" fontId="3" fillId="5" borderId="1" xfId="0" applyNumFmt="1" applyFont="1" applyFill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sheetFormatPr defaultRowHeight="15"/>
  <cols>
    <col min="1" max="1" width="16.0" customWidth="1"/>
    <col min="2" max="2" width="17.0" customWidth="1"/>
    <col min="3" max="3" width="11.0" customWidth="1"/>
    <col min="4" max="4" width="11.0" customWidth="1"/>
    <col min="5" max="5" width="11.0" customWidth="1"/>
    <col min="6" max="6" width="11.0" customWidth="1"/>
    <col min="7" max="7" width="11.0" customWidth="1"/>
    <col min="8" max="8" width="15.1" customWidth="1"/>
    <col min="9" max="9" width="18.4" customWidth="1"/>
    <col min="10" max="10" width="22.0" customWidth="1"/>
    <col min="11" max="11" width="22.0" customWidth="1"/>
    <col min="12" max="12" width="16.2" customWidth="1"/>
    <col min="13" max="13" width="16.8" customWidth="1"/>
    <col min="14" max="14" width="11.0" customWidth="1"/>
    <col min="15" max="15" width="12.9" customWidth="1"/>
    <col min="16" max="16" width="12.4" customWidth="1"/>
    <col min="17" max="17" width="20.6" customWidth="1"/>
    <col min="18" max="18" width="16.2" customWidth="1"/>
    <col min="19" max="19" width="21.7" customWidth="1"/>
    <col min="20" max="20" width="14.0" customWidth="1"/>
    <col min="21" max="21" width="19.0" customWidth="1"/>
    <col min="22" max="22" width="11.8" customWidth="1"/>
    <col min="23" max="23" width="14.6" customWidth="1"/>
    <col min="24" max="24" width="16.2" customWidth="1"/>
    <col min="25" max="25" width="11.0" customWidth="1"/>
    <col min="26" max="26" width="15.1" customWidth="1"/>
    <col min="27" max="27" width="14.6" customWidth="1"/>
    <col min="28" max="28" width="13.5" customWidth="1"/>
    <col min="29" max="29" width="11.0" customWidth="1"/>
    <col min="30" max="30" width="13.5" customWidth="1"/>
    <col min="31" max="31" width="12.4" customWidth="1"/>
    <col min="32" max="32" width="12.4" customWidth="1"/>
    <col min="33" max="33" width="12.4" customWidth="1"/>
  </cols>
  <sheetData>
    <row r="1">
      <c r="A1" s="2" t="inlineStr">
        <is>
          <t xml:space="preserve">IDENTITÉ</t>
        </is>
      </c>
      <c r="B1" s="2"/>
      <c r="C1" s="2"/>
      <c r="D1" s="2"/>
      <c r="E1" s="2"/>
      <c r="F1" s="3" t="inlineStr">
        <is>
          <t xml:space="preserve">COMPOSITION CORPORELLE</t>
        </is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2" t="inlineStr">
        <is>
          <t xml:space="preserve">DONNÉES COMPLÉMENTAIRES</t>
        </is>
      </c>
      <c r="S1" s="2"/>
      <c r="T1" s="2"/>
      <c r="U1" s="2"/>
      <c r="V1" s="2"/>
      <c r="W1" s="2"/>
      <c r="X1" s="2"/>
      <c r="Y1" s="2"/>
      <c r="Z1" s="2"/>
      <c r="AA1" s="2"/>
      <c r="AB1" s="3" t="inlineStr">
        <is>
          <t xml:space="preserve">TOUR DE TAILLE</t>
        </is>
      </c>
      <c r="AC1" s="3" t="inlineStr">
        <is>
          <t xml:space="preserve">POIDS DE FORME (calcul automatique)</t>
        </is>
      </c>
      <c r="AD1" s="3"/>
      <c r="AE1" s="3"/>
      <c r="AF1" s="3"/>
      <c r="AG1" s="3"/>
    </row>
    <row r="2">
      <c r="A2" s="1" t="inlineStr">
        <is>
          <t xml:space="preserve">Joueur (ID)</t>
        </is>
      </c>
      <c r="B2" s="1" t="inlineStr">
        <is>
          <t xml:space="preserve">Date</t>
        </is>
      </c>
      <c r="C2" s="1" t="inlineStr">
        <is>
          <t xml:space="preserve">Taille (cm)</t>
        </is>
      </c>
      <c r="D2" s="1" t="inlineStr">
        <is>
          <t xml:space="preserve">Âge</t>
        </is>
      </c>
      <c r="E2" s="1" t="inlineStr">
        <is>
          <t xml:space="preserve">Genre</t>
        </is>
      </c>
      <c r="F2" s="1" t="inlineStr">
        <is>
          <t xml:space="preserve">Poids (kg)</t>
        </is>
      </c>
      <c r="G2" s="1" t="inlineStr">
        <is>
          <t xml:space="preserve">IMC (kg/m²)</t>
        </is>
      </c>
      <c r="H2" s="1" t="inlineStr">
        <is>
          <t xml:space="preserve">Masse grasse - PBF (%)</t>
        </is>
      </c>
      <c r="I2" s="1" t="inlineStr">
        <is>
          <t xml:space="preserve">Masse grasse corporelle (kg)</t>
        </is>
      </c>
      <c r="J2" s="1" t="inlineStr">
        <is>
          <t xml:space="preserve">Masse maigre / Bloc sans graisse - LBM (kg)</t>
        </is>
      </c>
      <c r="K2" s="1" t="inlineStr">
        <is>
          <t xml:space="preserve">Morceaux de viande maigre et molle (kg)</t>
        </is>
      </c>
      <c r="L2" s="1" t="inlineStr">
        <is>
          <t xml:space="preserve">Muscle squelettique (kg)</t>
        </is>
      </c>
      <c r="M2" s="1" t="inlineStr">
        <is>
          <t xml:space="preserve">Eau corporelle totale (L)</t>
        </is>
      </c>
      <c r="N2" s="1" t="inlineStr">
        <is>
          <t xml:space="preserve">Protéine (kg)</t>
        </is>
      </c>
      <c r="O2" s="1" t="inlineStr">
        <is>
          <t xml:space="preserve">Masse osseuse (kg)</t>
        </is>
      </c>
      <c r="P2" s="1" t="inlineStr">
        <is>
          <t xml:space="preserve">Graisse viscérale</t>
        </is>
      </c>
      <c r="Q2" s="1" t="inlineStr">
        <is>
          <t xml:space="preserve">BMR - Métabolisme de base (kcal)</t>
        </is>
      </c>
      <c r="R2" s="1" t="inlineStr">
        <is>
          <t xml:space="preserve">Graisse sous-cutanée (%)</t>
        </is>
      </c>
      <c r="S2" s="1" t="inlineStr">
        <is>
          <t xml:space="preserve">Masse graisseuse sous-cutanée (kg)</t>
        </is>
      </c>
      <c r="T2" s="1" t="inlineStr">
        <is>
          <t xml:space="preserve">Ratio musculaire (%)</t>
        </is>
      </c>
      <c r="U2" s="1" t="inlineStr">
        <is>
          <t xml:space="preserve">Ratio muscle squelettique (%)</t>
        </is>
      </c>
      <c r="V2" s="1" t="inlineStr">
        <is>
          <t xml:space="preserve">Ratio osseux (%)</t>
        </is>
      </c>
      <c r="W2" s="1" t="inlineStr">
        <is>
          <t xml:space="preserve">Taux de protéines (%)</t>
        </is>
      </c>
      <c r="X2" s="1" t="inlineStr">
        <is>
          <t xml:space="preserve">Ratio eau corporelle (%)</t>
        </is>
      </c>
      <c r="Y2" s="1" t="inlineStr">
        <is>
          <t xml:space="preserve">SMI</t>
        </is>
      </c>
      <c r="Z2" s="1" t="inlineStr">
        <is>
          <t xml:space="preserve">Rapport taille-hanches</t>
        </is>
      </c>
      <c r="AA2" s="1" t="inlineStr">
        <is>
          <t xml:space="preserve">Score de santé (/100)</t>
        </is>
      </c>
      <c r="AB2" s="1" t="inlineStr">
        <is>
          <t xml:space="preserve">Tour de taille (cm)</t>
        </is>
      </c>
      <c r="AC2" s="1" t="inlineStr">
        <is>
          <t xml:space="preserve">% MG cible</t>
        </is>
      </c>
      <c r="AD2" s="1" t="inlineStr">
        <is>
          <t xml:space="preserve">Poids de forme (kg)</t>
        </is>
      </c>
      <c r="AE2" s="1" t="inlineStr">
        <is>
          <t xml:space="preserve">PF cible 12% (kg)</t>
        </is>
      </c>
      <c r="AF2" s="1" t="inlineStr">
        <is>
          <t xml:space="preserve">PF cible 11% (kg)</t>
        </is>
      </c>
      <c r="AG2" s="1" t="inlineStr">
        <is>
          <t xml:space="preserve">PF cible 10% (kg)</t>
        </is>
      </c>
    </row>
    <row r="3">
      <c r="A3" s="7" t="inlineStr">
        <is>
          <t xml:space="preserve">Matt Dubus</t>
        </is>
      </c>
      <c r="B3" s="7" t="inlineStr">
        <is>
          <t xml:space="preserve">2026-06-10 17:26</t>
        </is>
      </c>
      <c r="C3" s="6">
        <v>188</v>
      </c>
      <c r="D3" s="6">
        <v>30</v>
      </c>
      <c r="E3" s="7" t="inlineStr">
        <is>
          <t xml:space="preserve">Hommes</t>
        </is>
      </c>
      <c r="F3" s="6">
        <v>77.3</v>
      </c>
      <c r="G3" s="6">
        <v>21.9</v>
      </c>
      <c r="H3" s="6">
        <v>13.7</v>
      </c>
      <c r="I3" s="4">
        <f>F3*H3/100</f>
        <v>10.5901</v>
      </c>
      <c r="J3" s="6">
        <v>66.6</v>
      </c>
      <c r="K3" s="6">
        <v>63.31</v>
      </c>
      <c r="L3" s="6">
        <v>43</v>
      </c>
      <c r="M3" s="6">
        <v>48.1</v>
      </c>
      <c r="N3" s="6">
        <v>15.2</v>
      </c>
      <c r="O3" s="6">
        <v>3.32</v>
      </c>
      <c r="P3" s="6">
        <v>5</v>
      </c>
      <c r="Q3" s="6">
        <v>1809</v>
      </c>
      <c r="R3" s="6">
        <v>12.2</v>
      </c>
      <c r="S3" s="6">
        <v>9.43</v>
      </c>
      <c r="T3" s="6">
        <v>81.9</v>
      </c>
      <c r="U3" s="6">
        <v>55.6</v>
      </c>
      <c r="V3" s="6">
        <v>4.3</v>
      </c>
      <c r="W3" s="6">
        <v>19.7</v>
      </c>
      <c r="X3" s="6">
        <v>62.2</v>
      </c>
      <c r="Y3" s="6">
        <v>8.3</v>
      </c>
      <c r="Z3" s="6">
        <v>0.96</v>
      </c>
      <c r="AA3" s="6">
        <v>95.3</v>
      </c>
      <c r="AB3" s="6"/>
      <c r="AC3" s="5">
        <v>0.105</v>
      </c>
      <c r="AD3" s="8">
        <f>J3/(1-AC3)</f>
        <v>74.4134</v>
      </c>
      <c r="AE3" s="4">
        <f>J3/(1-0.12)</f>
        <v>75.6818</v>
      </c>
      <c r="AF3" s="4">
        <f>J3/(1-0.11)</f>
        <v>74.8315</v>
      </c>
      <c r="AG3" s="4">
        <f>J3/(1-0.10)</f>
        <v>74.0</v>
      </c>
    </row>
    <row r="4">
      <c r="A4" s="7" t="inlineStr">
        <is>
          <t xml:space="preserve">Elio</t>
        </is>
      </c>
      <c r="B4" s="7" t="inlineStr">
        <is>
          <t xml:space="preserve">2026-06-12 20:23</t>
        </is>
      </c>
      <c r="C4" s="6">
        <v>192</v>
      </c>
      <c r="D4" s="6">
        <v>23</v>
      </c>
      <c r="E4" s="7" t="inlineStr">
        <is>
          <t xml:space="preserve">Hommes</t>
        </is>
      </c>
      <c r="F4" s="6">
        <v>76.4</v>
      </c>
      <c r="G4" s="6">
        <v>20.7</v>
      </c>
      <c r="H4" s="6">
        <v>11.1</v>
      </c>
      <c r="I4" s="4">
        <f>F4*H4/100</f>
        <v>8.4804</v>
      </c>
      <c r="J4" s="6">
        <v>67.9</v>
      </c>
      <c r="K4" s="6">
        <v>64.48</v>
      </c>
      <c r="L4" s="6">
        <v>43.8</v>
      </c>
      <c r="M4" s="6">
        <v>49</v>
      </c>
      <c r="N4" s="6">
        <v>15.5</v>
      </c>
      <c r="O4" s="6">
        <v>3.44</v>
      </c>
      <c r="P4" s="6">
        <v>4</v>
      </c>
      <c r="Q4" s="6">
        <v>1837</v>
      </c>
      <c r="R4" s="6">
        <v>9.8</v>
      </c>
      <c r="S4" s="6">
        <v>7.49</v>
      </c>
      <c r="T4" s="6">
        <v>84.4</v>
      </c>
      <c r="U4" s="6">
        <v>57.3</v>
      </c>
      <c r="V4" s="6">
        <v>4.5</v>
      </c>
      <c r="W4" s="6">
        <v>20.3</v>
      </c>
      <c r="X4" s="6">
        <v>64.1</v>
      </c>
      <c r="Y4" s="6">
        <v>8.6</v>
      </c>
      <c r="Z4" s="6">
        <v>0.87</v>
      </c>
      <c r="AA4" s="6">
        <v>89.5</v>
      </c>
      <c r="AB4" s="6"/>
      <c r="AC4" s="5">
        <v>0.105</v>
      </c>
      <c r="AD4" s="8">
        <f>J4/(1-AC4)</f>
        <v>75.8659</v>
      </c>
      <c r="AE4" s="4">
        <f>J4/(1-0.12)</f>
        <v>77.1591</v>
      </c>
      <c r="AF4" s="4">
        <f>J4/(1-0.11)</f>
        <v>76.2921</v>
      </c>
      <c r="AG4" s="4">
        <f>J4/(1-0.10)</f>
        <v>75.4444</v>
      </c>
    </row>
    <row r="5">
      <c r="A5" s="7" t="inlineStr">
        <is>
          <t xml:space="preserve">Heloise Collura</t>
        </is>
      </c>
      <c r="B5" s="7" t="inlineStr">
        <is>
          <t xml:space="preserve">2026-06-12 20:01</t>
        </is>
      </c>
      <c r="C5" s="6">
        <v>167</v>
      </c>
      <c r="D5" s="6">
        <v>23</v>
      </c>
      <c r="E5" s="7" t="inlineStr">
        <is>
          <t xml:space="preserve">Femmes</t>
        </is>
      </c>
      <c r="F5" s="6">
        <v>59.75</v>
      </c>
      <c r="G5" s="6">
        <v>21.4</v>
      </c>
      <c r="H5" s="6">
        <v>16.2</v>
      </c>
      <c r="I5" s="4">
        <f>F5*H5/100</f>
        <v>9.6795</v>
      </c>
      <c r="J5" s="6">
        <v>50.1</v>
      </c>
      <c r="K5" s="6">
        <v>47.08</v>
      </c>
      <c r="L5" s="6">
        <v>29.1</v>
      </c>
      <c r="M5" s="6">
        <v>34.3</v>
      </c>
      <c r="N5" s="6">
        <v>12.2</v>
      </c>
      <c r="O5" s="6">
        <v>2.99</v>
      </c>
      <c r="P5" s="6">
        <v>3</v>
      </c>
      <c r="Q5" s="6">
        <v>1451</v>
      </c>
      <c r="R5" s="6">
        <v>15</v>
      </c>
      <c r="S5" s="6">
        <v>8.96</v>
      </c>
      <c r="T5" s="6">
        <v>78.8</v>
      </c>
      <c r="U5" s="6">
        <v>48.7</v>
      </c>
      <c r="V5" s="6">
        <v>5</v>
      </c>
      <c r="W5" s="6">
        <v>20.4</v>
      </c>
      <c r="X5" s="6">
        <v>57.4</v>
      </c>
      <c r="Y5" s="6">
        <v>6.3</v>
      </c>
      <c r="Z5" s="6">
        <v>0.83</v>
      </c>
      <c r="AA5" s="6">
        <v>84.9</v>
      </c>
      <c r="AB5" s="6"/>
      <c r="AC5" s="5">
        <v>0.105</v>
      </c>
      <c r="AD5" s="8">
        <f>J5/(1-AC5)</f>
        <v>55.9777</v>
      </c>
      <c r="AE5" s="4">
        <f>J5/(1-0.12)</f>
        <v>56.9318</v>
      </c>
      <c r="AF5" s="4">
        <f>J5/(1-0.11)</f>
        <v>56.2921</v>
      </c>
      <c r="AG5" s="4">
        <f>J5/(1-0.10)</f>
        <v>55.6667</v>
      </c>
    </row>
    <row r="6">
      <c r="A6" s="7" t="inlineStr">
        <is>
          <t xml:space="preserve">Gas</t>
        </is>
      </c>
      <c r="B6" s="7" t="inlineStr">
        <is>
          <t xml:space="preserve">2026-06-12 20:37</t>
        </is>
      </c>
      <c r="C6" s="6">
        <v>182</v>
      </c>
      <c r="D6" s="6">
        <v>24</v>
      </c>
      <c r="E6" s="7" t="inlineStr">
        <is>
          <t xml:space="preserve">Hommes</t>
        </is>
      </c>
      <c r="F6" s="6">
        <v>83.05</v>
      </c>
      <c r="G6" s="6">
        <v>25.1</v>
      </c>
      <c r="H6" s="6">
        <v>17.8</v>
      </c>
      <c r="I6" s="4">
        <f>F6*H6/100</f>
        <v>14.7829</v>
      </c>
      <c r="J6" s="6">
        <v>68.3</v>
      </c>
      <c r="K6" s="6">
        <v>64.86</v>
      </c>
      <c r="L6" s="6">
        <v>44</v>
      </c>
      <c r="M6" s="6">
        <v>49.3</v>
      </c>
      <c r="N6" s="6">
        <v>15.6</v>
      </c>
      <c r="O6" s="6">
        <v>3.41</v>
      </c>
      <c r="P6" s="6">
        <v>7</v>
      </c>
      <c r="Q6" s="6">
        <v>1844</v>
      </c>
      <c r="R6" s="6">
        <v>15.6</v>
      </c>
      <c r="S6" s="6">
        <v>12.96</v>
      </c>
      <c r="T6" s="6">
        <v>78.1</v>
      </c>
      <c r="U6" s="6">
        <v>53</v>
      </c>
      <c r="V6" s="6">
        <v>4.1</v>
      </c>
      <c r="W6" s="6">
        <v>18.8</v>
      </c>
      <c r="X6" s="6">
        <v>59.4</v>
      </c>
      <c r="Y6" s="6">
        <v>8.3</v>
      </c>
      <c r="Z6" s="6">
        <v>0.87</v>
      </c>
      <c r="AA6" s="6">
        <v>85.9</v>
      </c>
      <c r="AB6" s="6"/>
      <c r="AC6" s="5">
        <v>0.105</v>
      </c>
      <c r="AD6" s="8">
        <f>J6/(1-AC6)</f>
        <v>76.3128</v>
      </c>
      <c r="AE6" s="4">
        <f>J6/(1-0.12)</f>
        <v>77.6136</v>
      </c>
      <c r="AF6" s="4">
        <f>J6/(1-0.11)</f>
        <v>76.7416</v>
      </c>
      <c r="AG6" s="4">
        <f>J6/(1-0.10)</f>
        <v>75.8889</v>
      </c>
    </row>
    <row r="7">
      <c r="A7" s="7" t="inlineStr">
        <is>
          <t xml:space="preserve">Julien</t>
        </is>
      </c>
      <c r="B7" s="7" t="inlineStr">
        <is>
          <t xml:space="preserve">2026-06-12 20:44</t>
        </is>
      </c>
      <c r="C7" s="6">
        <v>184</v>
      </c>
      <c r="D7" s="6">
        <v>21</v>
      </c>
      <c r="E7" s="7" t="inlineStr">
        <is>
          <t xml:space="preserve">Hommes</t>
        </is>
      </c>
      <c r="F7" s="6">
        <v>71.7</v>
      </c>
      <c r="G7" s="6">
        <v>21.2</v>
      </c>
      <c r="H7" s="6">
        <v>11.5</v>
      </c>
      <c r="I7" s="4">
        <f>F7*H7/100</f>
        <v>8.2455</v>
      </c>
      <c r="J7" s="6">
        <v>63.5</v>
      </c>
      <c r="K7" s="6">
        <v>60.3</v>
      </c>
      <c r="L7" s="6">
        <v>41</v>
      </c>
      <c r="M7" s="6">
        <v>45.8</v>
      </c>
      <c r="N7" s="6">
        <v>14.4</v>
      </c>
      <c r="O7" s="6">
        <v>3.23</v>
      </c>
      <c r="P7" s="6">
        <v>4</v>
      </c>
      <c r="Q7" s="6">
        <v>1740</v>
      </c>
      <c r="R7" s="6">
        <v>10.2</v>
      </c>
      <c r="S7" s="6">
        <v>7.31</v>
      </c>
      <c r="T7" s="6">
        <v>84.1</v>
      </c>
      <c r="U7" s="6">
        <v>57.2</v>
      </c>
      <c r="V7" s="6">
        <v>4.5</v>
      </c>
      <c r="W7" s="6">
        <v>20.1</v>
      </c>
      <c r="X7" s="6">
        <v>63.9</v>
      </c>
      <c r="Y7" s="6">
        <v>8</v>
      </c>
      <c r="Z7" s="6">
        <v>0.83</v>
      </c>
      <c r="AA7" s="6">
        <v>91.3</v>
      </c>
      <c r="AB7" s="6"/>
      <c r="AC7" s="5">
        <v>0.105</v>
      </c>
      <c r="AD7" s="8">
        <f>J7/(1-AC7)</f>
        <v>70.9497</v>
      </c>
      <c r="AE7" s="4">
        <f>J7/(1-0.12)</f>
        <v>72.1591</v>
      </c>
      <c r="AF7" s="4">
        <f>J7/(1-0.11)</f>
        <v>71.3483</v>
      </c>
      <c r="AG7" s="4">
        <f>J7/(1-0.10)</f>
        <v>70.5556</v>
      </c>
    </row>
    <row r="8">
      <c r="A8" s="7" t="inlineStr">
        <is>
          <t xml:space="preserve">Gabyn</t>
        </is>
      </c>
      <c r="B8" s="7" t="inlineStr">
        <is>
          <t xml:space="preserve">2026-06-12 20:45</t>
        </is>
      </c>
      <c r="C8" s="6">
        <v>188</v>
      </c>
      <c r="D8" s="6">
        <v>21</v>
      </c>
      <c r="E8" s="7" t="inlineStr">
        <is>
          <t xml:space="preserve">Hommes</t>
        </is>
      </c>
      <c r="F8" s="6">
        <v>86.65</v>
      </c>
      <c r="G8" s="6">
        <v>25.6</v>
      </c>
      <c r="H8" s="6">
        <v>18.1</v>
      </c>
      <c r="I8" s="4">
        <f>F8*H8/100</f>
        <v>15.6837</v>
      </c>
      <c r="J8" s="6">
        <v>72.4</v>
      </c>
      <c r="K8" s="6">
        <v>67.41</v>
      </c>
      <c r="L8" s="6">
        <v>45.8</v>
      </c>
      <c r="M8" s="6">
        <v>51.2</v>
      </c>
      <c r="N8" s="6">
        <v>16.2</v>
      </c>
      <c r="O8" s="6">
        <v>3.47</v>
      </c>
      <c r="P8" s="6">
        <v>8</v>
      </c>
      <c r="Q8" s="6">
        <v>1932</v>
      </c>
      <c r="R8" s="6">
        <v>15.7</v>
      </c>
      <c r="S8" s="6">
        <v>13.6</v>
      </c>
      <c r="T8" s="6">
        <v>77.8</v>
      </c>
      <c r="U8" s="6">
        <v>52.9</v>
      </c>
      <c r="V8" s="6">
        <v>4</v>
      </c>
      <c r="W8" s="6">
        <v>18.7</v>
      </c>
      <c r="X8" s="6">
        <v>59.1</v>
      </c>
      <c r="Y8" s="6">
        <v>8.4</v>
      </c>
      <c r="Z8" s="6">
        <v>0.88</v>
      </c>
      <c r="AA8" s="6">
        <v>88.4</v>
      </c>
      <c r="AB8" s="6"/>
      <c r="AC8" s="5">
        <v>0.105</v>
      </c>
      <c r="AD8" s="8">
        <f>J8/(1-AC8)</f>
        <v>80.8939</v>
      </c>
      <c r="AE8" s="4">
        <f>J8/(1-0.12)</f>
        <v>82.2727</v>
      </c>
      <c r="AF8" s="4">
        <f>J8/(1-0.11)</f>
        <v>81.3483</v>
      </c>
      <c r="AG8" s="4">
        <f>J8/(1-0.10)</f>
        <v>80.4444</v>
      </c>
    </row>
    <row r="9">
      <c r="A9" s="7" t="inlineStr">
        <is>
          <t xml:space="preserve">Mateo</t>
        </is>
      </c>
      <c r="B9" s="7" t="inlineStr">
        <is>
          <t xml:space="preserve">2026-06-12 20:46</t>
        </is>
      </c>
      <c r="C9" s="6">
        <v>172</v>
      </c>
      <c r="D9" s="6">
        <v>20</v>
      </c>
      <c r="E9" s="7" t="inlineStr">
        <is>
          <t xml:space="preserve">Hommes</t>
        </is>
      </c>
      <c r="F9" s="6">
        <v>65.2</v>
      </c>
      <c r="G9" s="6">
        <v>23.4</v>
      </c>
      <c r="H9" s="6">
        <v>18</v>
      </c>
      <c r="I9" s="4">
        <f>F9*H9/100</f>
        <v>11.736</v>
      </c>
      <c r="J9" s="6">
        <v>56.9</v>
      </c>
      <c r="K9" s="6">
        <v>50.27</v>
      </c>
      <c r="L9" s="6">
        <v>31.1</v>
      </c>
      <c r="M9" s="6">
        <v>36.7</v>
      </c>
      <c r="N9" s="6">
        <v>12.9</v>
      </c>
      <c r="O9" s="6">
        <v>3.19</v>
      </c>
      <c r="P9" s="6">
        <v>5</v>
      </c>
      <c r="Q9" s="6">
        <v>1599</v>
      </c>
      <c r="R9" s="6">
        <v>16.2</v>
      </c>
      <c r="S9" s="6">
        <v>10.56</v>
      </c>
      <c r="T9" s="6">
        <v>77.1</v>
      </c>
      <c r="U9" s="6">
        <v>47.7</v>
      </c>
      <c r="V9" s="6">
        <v>4.9</v>
      </c>
      <c r="W9" s="6">
        <v>19.8</v>
      </c>
      <c r="X9" s="6">
        <v>56.3</v>
      </c>
      <c r="Y9" s="6">
        <v>7.2</v>
      </c>
      <c r="Z9" s="6">
        <v>0.86</v>
      </c>
      <c r="AA9" s="6">
        <v>94.3</v>
      </c>
      <c r="AB9" s="6"/>
      <c r="AC9" s="5">
        <v>0.105</v>
      </c>
      <c r="AD9" s="8">
        <f>J9/(1-AC9)</f>
        <v>63.5754</v>
      </c>
      <c r="AE9" s="4">
        <f>J9/(1-0.12)</f>
        <v>64.6591</v>
      </c>
      <c r="AF9" s="4">
        <f>J9/(1-0.11)</f>
        <v>63.9326</v>
      </c>
      <c r="AG9" s="4">
        <f>J9/(1-0.10)</f>
        <v>63.2222</v>
      </c>
    </row>
    <row r="10">
      <c r="A10" s="7" t="inlineStr">
        <is>
          <t xml:space="preserve">Arthur</t>
        </is>
      </c>
      <c r="B10" s="7" t="inlineStr">
        <is>
          <t xml:space="preserve">2026-06-12 20:52</t>
        </is>
      </c>
      <c r="C10" s="6">
        <v>181</v>
      </c>
      <c r="D10" s="6">
        <v>22</v>
      </c>
      <c r="E10" s="7" t="inlineStr">
        <is>
          <t xml:space="preserve">Hommes</t>
        </is>
      </c>
      <c r="F10" s="6">
        <v>72.45</v>
      </c>
      <c r="G10" s="6">
        <v>22.1</v>
      </c>
      <c r="H10" s="6">
        <v>13</v>
      </c>
      <c r="I10" s="4">
        <f>F10*H10/100</f>
        <v>9.4185</v>
      </c>
      <c r="J10" s="6">
        <v>63</v>
      </c>
      <c r="K10" s="6">
        <v>59.9</v>
      </c>
      <c r="L10" s="6">
        <v>40.7</v>
      </c>
      <c r="M10" s="6">
        <v>45.5</v>
      </c>
      <c r="N10" s="6">
        <v>14.4</v>
      </c>
      <c r="O10" s="6">
        <v>3.15</v>
      </c>
      <c r="P10" s="6">
        <v>5</v>
      </c>
      <c r="Q10" s="6">
        <v>1731</v>
      </c>
      <c r="R10" s="6">
        <v>11.4</v>
      </c>
      <c r="S10" s="6">
        <v>8.26</v>
      </c>
      <c r="T10" s="6">
        <v>82.7</v>
      </c>
      <c r="U10" s="6">
        <v>56.2</v>
      </c>
      <c r="V10" s="6">
        <v>4.3</v>
      </c>
      <c r="W10" s="6">
        <v>19.9</v>
      </c>
      <c r="X10" s="6">
        <v>62.8</v>
      </c>
      <c r="Y10" s="6">
        <v>7.9</v>
      </c>
      <c r="Z10" s="6">
        <v>0.82</v>
      </c>
      <c r="AA10" s="6">
        <v>94</v>
      </c>
      <c r="AB10" s="6"/>
      <c r="AC10" s="5">
        <v>0.105</v>
      </c>
      <c r="AD10" s="8">
        <f>J10/(1-AC10)</f>
        <v>70.3911</v>
      </c>
      <c r="AE10" s="4">
        <f>J10/(1-0.12)</f>
        <v>71.5909</v>
      </c>
      <c r="AF10" s="4">
        <f>J10/(1-0.11)</f>
        <v>70.7865</v>
      </c>
      <c r="AG10" s="4">
        <f>J10/(1-0.10)</f>
        <v>70.0</v>
      </c>
    </row>
    <row r="11">
      <c r="A11" s="7" t="inlineStr">
        <is>
          <t xml:space="preserve">Jp</t>
        </is>
      </c>
      <c r="B11" s="7" t="inlineStr">
        <is>
          <t xml:space="preserve">2026-06-12 20:58</t>
        </is>
      </c>
      <c r="C11" s="6">
        <v>192</v>
      </c>
      <c r="D11" s="6">
        <v>27</v>
      </c>
      <c r="E11" s="7" t="inlineStr">
        <is>
          <t xml:space="preserve">Hommes</t>
        </is>
      </c>
      <c r="F11" s="6">
        <v>86</v>
      </c>
      <c r="G11" s="6">
        <v>23.3</v>
      </c>
      <c r="H11" s="6">
        <v>15.3</v>
      </c>
      <c r="I11" s="4">
        <f>F11*H11/100</f>
        <v>13.158</v>
      </c>
      <c r="J11" s="6">
        <v>72.8</v>
      </c>
      <c r="K11" s="6">
        <v>69.2</v>
      </c>
      <c r="L11" s="6">
        <v>47</v>
      </c>
      <c r="M11" s="6">
        <v>52.5</v>
      </c>
      <c r="N11" s="6">
        <v>16.6</v>
      </c>
      <c r="O11" s="6">
        <v>3.64</v>
      </c>
      <c r="P11" s="6">
        <v>6</v>
      </c>
      <c r="Q11" s="6">
        <v>1943</v>
      </c>
      <c r="R11" s="6">
        <v>13.4</v>
      </c>
      <c r="S11" s="6">
        <v>11.52</v>
      </c>
      <c r="T11" s="6">
        <v>80.5</v>
      </c>
      <c r="U11" s="6">
        <v>54.7</v>
      </c>
      <c r="V11" s="6">
        <v>4.2</v>
      </c>
      <c r="W11" s="6">
        <v>19.3</v>
      </c>
      <c r="X11" s="6">
        <v>61.1</v>
      </c>
      <c r="Y11" s="6">
        <v>8.5</v>
      </c>
      <c r="Z11" s="6">
        <v>0.86</v>
      </c>
      <c r="AA11" s="6">
        <v>91.9</v>
      </c>
      <c r="AB11" s="6"/>
      <c r="AC11" s="5">
        <v>0.105</v>
      </c>
      <c r="AD11" s="8">
        <f>J11/(1-AC11)</f>
        <v>81.3408</v>
      </c>
      <c r="AE11" s="4">
        <f>J11/(1-0.12)</f>
        <v>82.7273</v>
      </c>
      <c r="AF11" s="4">
        <f>J11/(1-0.11)</f>
        <v>81.7978</v>
      </c>
      <c r="AG11" s="4">
        <f>J11/(1-0.10)</f>
        <v>80.8889</v>
      </c>
    </row>
    <row r="12">
      <c r="A12" s="7" t="inlineStr">
        <is>
          <t xml:space="preserve">Coco</t>
        </is>
      </c>
      <c r="B12" s="7" t="inlineStr">
        <is>
          <t xml:space="preserve">2026-06-12 21:01</t>
        </is>
      </c>
      <c r="C12" s="6">
        <v>178</v>
      </c>
      <c r="D12" s="6">
        <v>25</v>
      </c>
      <c r="E12" s="7" t="inlineStr">
        <is>
          <t xml:space="preserve">Hommes</t>
        </is>
      </c>
      <c r="F12" s="6">
        <v>83.4</v>
      </c>
      <c r="G12" s="6">
        <v>26.3</v>
      </c>
      <c r="H12" s="6">
        <v>19.6</v>
      </c>
      <c r="I12" s="4">
        <f>F12*H12/100</f>
        <v>16.3464</v>
      </c>
      <c r="J12" s="6">
        <v>67</v>
      </c>
      <c r="K12" s="6">
        <v>63.7</v>
      </c>
      <c r="L12" s="6">
        <v>43.3</v>
      </c>
      <c r="M12" s="6">
        <v>48.4</v>
      </c>
      <c r="N12" s="6">
        <v>15.3</v>
      </c>
      <c r="O12" s="6">
        <v>3.35</v>
      </c>
      <c r="P12" s="6">
        <v>9</v>
      </c>
      <c r="Q12" s="6">
        <v>1818</v>
      </c>
      <c r="R12" s="6">
        <v>16.9</v>
      </c>
      <c r="S12" s="6">
        <v>14.09</v>
      </c>
      <c r="T12" s="6">
        <v>76.4</v>
      </c>
      <c r="U12" s="6">
        <v>51.9</v>
      </c>
      <c r="V12" s="6">
        <v>4</v>
      </c>
      <c r="W12" s="6">
        <v>18.4</v>
      </c>
      <c r="X12" s="6">
        <v>58</v>
      </c>
      <c r="Y12" s="6">
        <v>8.4</v>
      </c>
      <c r="Z12" s="6">
        <v>0.88</v>
      </c>
      <c r="AA12" s="6">
        <v>80.4</v>
      </c>
      <c r="AB12" s="6"/>
      <c r="AC12" s="5">
        <v>0.105</v>
      </c>
      <c r="AD12" s="8">
        <f>J12/(1-AC12)</f>
        <v>74.8603</v>
      </c>
      <c r="AE12" s="4">
        <f>J12/(1-0.12)</f>
        <v>76.1364</v>
      </c>
      <c r="AF12" s="4">
        <f>J12/(1-0.11)</f>
        <v>75.2809</v>
      </c>
      <c r="AG12" s="4">
        <f>J12/(1-0.10)</f>
        <v>74.4444</v>
      </c>
    </row>
    <row r="13">
      <c r="A13" s="7" t="inlineStr">
        <is>
          <t xml:space="preserve">Remi</t>
        </is>
      </c>
      <c r="B13" s="7" t="inlineStr">
        <is>
          <t xml:space="preserve">2026-06-12 21:03</t>
        </is>
      </c>
      <c r="C13" s="6">
        <v>184</v>
      </c>
      <c r="D13" s="6">
        <v>24</v>
      </c>
      <c r="E13" s="7" t="inlineStr">
        <is>
          <t xml:space="preserve">Hommes</t>
        </is>
      </c>
      <c r="F13" s="6">
        <v>79.1</v>
      </c>
      <c r="G13" s="6">
        <v>23.4</v>
      </c>
      <c r="H13" s="6">
        <v>15.3</v>
      </c>
      <c r="I13" s="4">
        <f>F13*H13/100</f>
        <v>12.1023</v>
      </c>
      <c r="J13" s="6">
        <v>67</v>
      </c>
      <c r="K13" s="6">
        <v>63.6</v>
      </c>
      <c r="L13" s="6">
        <v>43.3</v>
      </c>
      <c r="M13" s="6">
        <v>48.4</v>
      </c>
      <c r="N13" s="6">
        <v>15.3</v>
      </c>
      <c r="O13" s="6">
        <v>3.35</v>
      </c>
      <c r="P13" s="6">
        <v>6</v>
      </c>
      <c r="Q13" s="6">
        <v>1817</v>
      </c>
      <c r="R13" s="6">
        <v>13.4</v>
      </c>
      <c r="S13" s="6">
        <v>10.6</v>
      </c>
      <c r="T13" s="6">
        <v>80.4</v>
      </c>
      <c r="U13" s="6">
        <v>54.7</v>
      </c>
      <c r="V13" s="6">
        <v>4.2</v>
      </c>
      <c r="W13" s="6">
        <v>19.3</v>
      </c>
      <c r="X13" s="6">
        <v>61.2</v>
      </c>
      <c r="Y13" s="6">
        <v>8.2</v>
      </c>
      <c r="Z13" s="6">
        <v>0.87</v>
      </c>
      <c r="AA13" s="6">
        <v>92.3</v>
      </c>
      <c r="AB13" s="6"/>
      <c r="AC13" s="5">
        <v>0.105</v>
      </c>
      <c r="AD13" s="8">
        <f>J13/(1-AC13)</f>
        <v>74.8603</v>
      </c>
      <c r="AE13" s="4">
        <f>J13/(1-0.12)</f>
        <v>76.1364</v>
      </c>
      <c r="AF13" s="4">
        <f>J13/(1-0.11)</f>
        <v>75.2809</v>
      </c>
      <c r="AG13" s="4">
        <f>J13/(1-0.10)</f>
        <v>74.4444</v>
      </c>
    </row>
    <row r="14">
      <c r="A14" s="7" t="inlineStr">
        <is>
          <t xml:space="preserve">Mathis</t>
        </is>
      </c>
      <c r="B14" s="7" t="inlineStr">
        <is>
          <t xml:space="preserve">2026-06-12 21:04</t>
        </is>
      </c>
      <c r="C14" s="6">
        <v>178</v>
      </c>
      <c r="D14" s="6">
        <v>23</v>
      </c>
      <c r="E14" s="7" t="inlineStr">
        <is>
          <t xml:space="preserve">Hommes</t>
        </is>
      </c>
      <c r="F14" s="6">
        <v>69.7</v>
      </c>
      <c r="G14" s="6">
        <v>22</v>
      </c>
      <c r="H14" s="6">
        <v>13.1</v>
      </c>
      <c r="I14" s="4">
        <f>F14*H14/100</f>
        <v>9.1307</v>
      </c>
      <c r="J14" s="6">
        <v>60.6</v>
      </c>
      <c r="K14" s="6">
        <v>57.5</v>
      </c>
      <c r="L14" s="6">
        <v>39.2</v>
      </c>
      <c r="M14" s="6">
        <v>43.8</v>
      </c>
      <c r="N14" s="6">
        <v>13.8</v>
      </c>
      <c r="O14" s="6">
        <v>3.03</v>
      </c>
      <c r="P14" s="6">
        <v>5</v>
      </c>
      <c r="Q14" s="6">
        <v>1678</v>
      </c>
      <c r="R14" s="6">
        <v>11.5</v>
      </c>
      <c r="S14" s="6">
        <v>8.02</v>
      </c>
      <c r="T14" s="6">
        <v>82.5</v>
      </c>
      <c r="U14" s="6">
        <v>56.2</v>
      </c>
      <c r="V14" s="6">
        <v>4.3</v>
      </c>
      <c r="W14" s="6">
        <v>19.8</v>
      </c>
      <c r="X14" s="6">
        <v>62.8</v>
      </c>
      <c r="Y14" s="6">
        <v>7.7</v>
      </c>
      <c r="Z14" s="6">
        <v>0.86</v>
      </c>
      <c r="AA14" s="6">
        <v>94.7</v>
      </c>
      <c r="AB14" s="6"/>
      <c r="AC14" s="5">
        <v>0.105</v>
      </c>
      <c r="AD14" s="8">
        <f>J14/(1-AC14)</f>
        <v>67.7095</v>
      </c>
      <c r="AE14" s="4">
        <f>J14/(1-0.12)</f>
        <v>68.8636</v>
      </c>
      <c r="AF14" s="4">
        <f>J14/(1-0.11)</f>
        <v>68.0899</v>
      </c>
      <c r="AG14" s="4">
        <f>J14/(1-0.10)</f>
        <v>67.3333</v>
      </c>
    </row>
    <row r="15">
      <c r="A15" s="7" t="inlineStr">
        <is>
          <t xml:space="preserve">Capi</t>
        </is>
      </c>
      <c r="B15" s="7" t="inlineStr">
        <is>
          <t xml:space="preserve">2026-06-12 21:07</t>
        </is>
      </c>
      <c r="C15" s="6">
        <v>178</v>
      </c>
      <c r="D15" s="6">
        <v>28</v>
      </c>
      <c r="E15" s="7" t="inlineStr">
        <is>
          <t xml:space="preserve">Hommes</t>
        </is>
      </c>
      <c r="F15" s="6">
        <v>78.55</v>
      </c>
      <c r="G15" s="6">
        <v>24.8</v>
      </c>
      <c r="H15" s="6">
        <v>17.6</v>
      </c>
      <c r="I15" s="4">
        <f>F15*H15/100</f>
        <v>13.8248</v>
      </c>
      <c r="J15" s="6">
        <v>64.7</v>
      </c>
      <c r="K15" s="6">
        <v>61.5</v>
      </c>
      <c r="L15" s="6">
        <v>41.8</v>
      </c>
      <c r="M15" s="6">
        <v>46.7</v>
      </c>
      <c r="N15" s="6">
        <v>14.8</v>
      </c>
      <c r="O15" s="6">
        <v>3.24</v>
      </c>
      <c r="P15" s="6">
        <v>7</v>
      </c>
      <c r="Q15" s="6">
        <v>1768</v>
      </c>
      <c r="R15" s="6">
        <v>15.3</v>
      </c>
      <c r="S15" s="6">
        <v>12.02</v>
      </c>
      <c r="T15" s="6">
        <v>78.3</v>
      </c>
      <c r="U15" s="6">
        <v>53.2</v>
      </c>
      <c r="V15" s="6">
        <v>4.1</v>
      </c>
      <c r="W15" s="6">
        <v>18.8</v>
      </c>
      <c r="X15" s="6">
        <v>59.5</v>
      </c>
      <c r="Y15" s="6">
        <v>8.1</v>
      </c>
      <c r="Z15" s="6">
        <v>0.85</v>
      </c>
      <c r="AA15" s="6">
        <v>87.4</v>
      </c>
      <c r="AB15" s="6"/>
      <c r="AC15" s="5">
        <v>0.105</v>
      </c>
      <c r="AD15" s="8">
        <f>J15/(1-AC15)</f>
        <v>72.2905</v>
      </c>
      <c r="AE15" s="4">
        <f>J15/(1-0.12)</f>
        <v>73.5227</v>
      </c>
      <c r="AF15" s="4">
        <f>J15/(1-0.11)</f>
        <v>72.6966</v>
      </c>
      <c r="AG15" s="4">
        <f>J15/(1-0.10)</f>
        <v>71.8889</v>
      </c>
    </row>
    <row r="16">
      <c r="A16" s="7" t="inlineStr">
        <is>
          <t xml:space="preserve">UV</t>
        </is>
      </c>
      <c r="B16" s="7" t="inlineStr">
        <is>
          <t xml:space="preserve">2026-06-12 21:08</t>
        </is>
      </c>
      <c r="C16" s="6">
        <v>173</v>
      </c>
      <c r="D16" s="6">
        <v>27</v>
      </c>
      <c r="E16" s="7" t="inlineStr">
        <is>
          <t xml:space="preserve">Hommes</t>
        </is>
      </c>
      <c r="F16" s="6">
        <v>67.6</v>
      </c>
      <c r="G16" s="6">
        <v>22.6</v>
      </c>
      <c r="H16" s="6">
        <v>14.3</v>
      </c>
      <c r="I16" s="4">
        <f>F16*H16/100</f>
        <v>9.6668</v>
      </c>
      <c r="J16" s="6">
        <v>57.9</v>
      </c>
      <c r="K16" s="6">
        <v>55</v>
      </c>
      <c r="L16" s="6">
        <v>37.4</v>
      </c>
      <c r="M16" s="6">
        <v>41.8</v>
      </c>
      <c r="N16" s="6">
        <v>13.2</v>
      </c>
      <c r="O16" s="6">
        <v>2.9</v>
      </c>
      <c r="P16" s="6">
        <v>5</v>
      </c>
      <c r="Q16" s="6">
        <v>1621</v>
      </c>
      <c r="R16" s="6">
        <v>12.6</v>
      </c>
      <c r="S16" s="6">
        <v>8.52</v>
      </c>
      <c r="T16" s="6">
        <v>81.4</v>
      </c>
      <c r="U16" s="6">
        <v>55.3</v>
      </c>
      <c r="V16" s="6">
        <v>4.3</v>
      </c>
      <c r="W16" s="6">
        <v>19.6</v>
      </c>
      <c r="X16" s="6">
        <v>61.8</v>
      </c>
      <c r="Y16" s="6">
        <v>7.4</v>
      </c>
      <c r="Z16" s="6">
        <v>0.82</v>
      </c>
      <c r="AA16" s="6">
        <v>94.5</v>
      </c>
      <c r="AB16" s="6"/>
      <c r="AC16" s="5">
        <v>0.105</v>
      </c>
      <c r="AD16" s="8">
        <f>J16/(1-AC16)</f>
        <v>64.6927</v>
      </c>
      <c r="AE16" s="4">
        <f>J16/(1-0.12)</f>
        <v>65.7955</v>
      </c>
      <c r="AF16" s="4">
        <f>J16/(1-0.11)</f>
        <v>65.0562</v>
      </c>
      <c r="AG16" s="4">
        <f>J16/(1-0.10)</f>
        <v>64.3333</v>
      </c>
    </row>
    <row r="17">
      <c r="A17" s="7" t="inlineStr">
        <is>
          <t xml:space="preserve">Axel</t>
        </is>
      </c>
      <c r="B17" s="7" t="inlineStr">
        <is>
          <t xml:space="preserve">2026-06-12 21:12</t>
        </is>
      </c>
      <c r="C17" s="6">
        <v>190</v>
      </c>
      <c r="D17" s="6">
        <v>29</v>
      </c>
      <c r="E17" s="7" t="inlineStr">
        <is>
          <t xml:space="preserve">Hommes</t>
        </is>
      </c>
      <c r="F17" s="6">
        <v>80.2</v>
      </c>
      <c r="G17" s="6">
        <v>22.2</v>
      </c>
      <c r="H17" s="6">
        <v>13.9</v>
      </c>
      <c r="I17" s="4">
        <f>F17*H17/100</f>
        <v>11.1478</v>
      </c>
      <c r="J17" s="6">
        <v>69.1</v>
      </c>
      <c r="K17" s="6">
        <v>65.6</v>
      </c>
      <c r="L17" s="6">
        <v>44.7</v>
      </c>
      <c r="M17" s="6">
        <v>49.9</v>
      </c>
      <c r="N17" s="6">
        <v>15.7</v>
      </c>
      <c r="O17" s="6">
        <v>3.46</v>
      </c>
      <c r="P17" s="6">
        <v>5</v>
      </c>
      <c r="Q17" s="6">
        <v>1861</v>
      </c>
      <c r="R17" s="6">
        <v>12.2</v>
      </c>
      <c r="S17" s="6">
        <v>9.78</v>
      </c>
      <c r="T17" s="6">
        <v>81.8</v>
      </c>
      <c r="U17" s="6">
        <v>55.7</v>
      </c>
      <c r="V17" s="6">
        <v>4.3</v>
      </c>
      <c r="W17" s="6">
        <v>19.6</v>
      </c>
      <c r="X17" s="6">
        <v>62.2</v>
      </c>
      <c r="Y17" s="6">
        <v>8.4</v>
      </c>
      <c r="Z17" s="6">
        <v>0.84</v>
      </c>
      <c r="AA17" s="6">
        <v>94.3</v>
      </c>
      <c r="AB17" s="6"/>
      <c r="AC17" s="5">
        <v>0.105</v>
      </c>
      <c r="AD17" s="8">
        <f>J17/(1-AC17)</f>
        <v>77.2067</v>
      </c>
      <c r="AE17" s="4">
        <f>J17/(1-0.12)</f>
        <v>78.5227</v>
      </c>
      <c r="AF17" s="4">
        <f>J17/(1-0.11)</f>
        <v>77.6404</v>
      </c>
      <c r="AG17" s="4">
        <f>J17/(1-0.10)</f>
        <v>76.7778</v>
      </c>
    </row>
    <row r="18">
      <c r="A18" s="7" t="inlineStr">
        <is>
          <t xml:space="preserve">Dany</t>
        </is>
      </c>
      <c r="B18" s="7" t="inlineStr">
        <is>
          <t xml:space="preserve">2026-06-12 21:16</t>
        </is>
      </c>
      <c r="C18" s="6">
        <v>175</v>
      </c>
      <c r="D18" s="6">
        <v>25</v>
      </c>
      <c r="E18" s="7" t="inlineStr">
        <is>
          <t xml:space="preserve">Hommes</t>
        </is>
      </c>
      <c r="F18" s="6">
        <v>64.8</v>
      </c>
      <c r="G18" s="6">
        <v>21.2</v>
      </c>
      <c r="H18" s="6">
        <v>12</v>
      </c>
      <c r="I18" s="4">
        <f>F18*H18/100</f>
        <v>7.776</v>
      </c>
      <c r="J18" s="6">
        <v>57</v>
      </c>
      <c r="K18" s="6">
        <v>54.2</v>
      </c>
      <c r="L18" s="6">
        <v>36.8</v>
      </c>
      <c r="M18" s="6">
        <v>41.1</v>
      </c>
      <c r="N18" s="6">
        <v>13</v>
      </c>
      <c r="O18" s="6">
        <v>2.85</v>
      </c>
      <c r="P18" s="6">
        <v>4</v>
      </c>
      <c r="Q18" s="6">
        <v>1601</v>
      </c>
      <c r="R18" s="6">
        <v>10.6</v>
      </c>
      <c r="S18" s="6">
        <v>6.87</v>
      </c>
      <c r="T18" s="6">
        <v>83.6</v>
      </c>
      <c r="U18" s="6">
        <v>56.8</v>
      </c>
      <c r="V18" s="6">
        <v>4.4</v>
      </c>
      <c r="W18" s="6">
        <v>20.1</v>
      </c>
      <c r="X18" s="6">
        <v>63.5</v>
      </c>
      <c r="Y18" s="6">
        <v>7.3</v>
      </c>
      <c r="Z18" s="6">
        <v>0.82</v>
      </c>
      <c r="AA18" s="6">
        <v>91.5</v>
      </c>
      <c r="AB18" s="6"/>
      <c r="AC18" s="5">
        <v>0.105</v>
      </c>
      <c r="AD18" s="8">
        <f>J18/(1-AC18)</f>
        <v>63.6872</v>
      </c>
      <c r="AE18" s="4">
        <f>J18/(1-0.12)</f>
        <v>64.7727</v>
      </c>
      <c r="AF18" s="4">
        <f>J18/(1-0.11)</f>
        <v>64.0449</v>
      </c>
      <c r="AG18" s="4">
        <f>J18/(1-0.10)</f>
        <v>63.3333</v>
      </c>
    </row>
    <row r="19">
      <c r="A19" s="7" t="inlineStr">
        <is>
          <t xml:space="preserve">Gio</t>
        </is>
      </c>
      <c r="B19" s="7" t="inlineStr">
        <is>
          <t xml:space="preserve">2026-06-12 21:20</t>
        </is>
      </c>
      <c r="C19" s="6">
        <v>175</v>
      </c>
      <c r="D19" s="6">
        <v>24</v>
      </c>
      <c r="E19" s="7" t="inlineStr">
        <is>
          <t xml:space="preserve">Hommes</t>
        </is>
      </c>
      <c r="F19" s="6">
        <v>63.4</v>
      </c>
      <c r="G19" s="6">
        <v>20.7</v>
      </c>
      <c r="H19" s="6">
        <v>11.2</v>
      </c>
      <c r="I19" s="4">
        <f>F19*H19/100</f>
        <v>7.1008</v>
      </c>
      <c r="J19" s="6">
        <v>56.3</v>
      </c>
      <c r="K19" s="6">
        <v>53.5</v>
      </c>
      <c r="L19" s="6">
        <v>36.4</v>
      </c>
      <c r="M19" s="6">
        <v>40.6</v>
      </c>
      <c r="N19" s="6">
        <v>12.8</v>
      </c>
      <c r="O19" s="6">
        <v>2.82</v>
      </c>
      <c r="P19" s="6">
        <v>3</v>
      </c>
      <c r="Q19" s="6">
        <v>1586</v>
      </c>
      <c r="R19" s="6">
        <v>9.9</v>
      </c>
      <c r="S19" s="6">
        <v>6.28</v>
      </c>
      <c r="T19" s="6">
        <v>84.4</v>
      </c>
      <c r="U19" s="6">
        <v>57.4</v>
      </c>
      <c r="V19" s="6">
        <v>4.4</v>
      </c>
      <c r="W19" s="6">
        <v>20.2</v>
      </c>
      <c r="X19" s="6">
        <v>64.1</v>
      </c>
      <c r="Y19" s="6">
        <v>7.2</v>
      </c>
      <c r="Z19" s="6">
        <v>0.83</v>
      </c>
      <c r="AA19" s="6">
        <v>88.5</v>
      </c>
      <c r="AB19" s="6"/>
      <c r="AC19" s="5">
        <v>0.105</v>
      </c>
      <c r="AD19" s="8">
        <f>J19/(1-AC19)</f>
        <v>62.905</v>
      </c>
      <c r="AE19" s="4">
        <f>J19/(1-0.12)</f>
        <v>63.9773</v>
      </c>
      <c r="AF19" s="4">
        <f>J19/(1-0.11)</f>
        <v>63.2584</v>
      </c>
      <c r="AG19" s="4">
        <f>J19/(1-0.10)</f>
        <v>62.5556</v>
      </c>
    </row>
    <row r="20">
      <c r="A20" s="7" t="inlineStr">
        <is>
          <t xml:space="preserve">Cyprien</t>
        </is>
      </c>
      <c r="B20" s="7" t="inlineStr">
        <is>
          <t xml:space="preserve">2026-06-12 21:22</t>
        </is>
      </c>
      <c r="C20" s="6">
        <v>185</v>
      </c>
      <c r="D20" s="6">
        <v>28</v>
      </c>
      <c r="E20" s="7" t="inlineStr">
        <is>
          <t xml:space="preserve">Hommes</t>
        </is>
      </c>
      <c r="F20" s="6">
        <v>93.6</v>
      </c>
      <c r="G20" s="6">
        <v>27.3</v>
      </c>
      <c r="H20" s="6">
        <v>21.4</v>
      </c>
      <c r="I20" s="4">
        <f>F20*H20/100</f>
        <v>20.0304</v>
      </c>
      <c r="J20" s="6">
        <v>73.6</v>
      </c>
      <c r="K20" s="6">
        <v>69.9</v>
      </c>
      <c r="L20" s="6">
        <v>47.5</v>
      </c>
      <c r="M20" s="6">
        <v>53.2</v>
      </c>
      <c r="N20" s="6">
        <v>16.8</v>
      </c>
      <c r="O20" s="6">
        <v>3.68</v>
      </c>
      <c r="P20" s="6">
        <v>10</v>
      </c>
      <c r="Q20" s="6">
        <v>1959</v>
      </c>
      <c r="R20" s="6">
        <v>18.4</v>
      </c>
      <c r="S20" s="6">
        <v>17.22</v>
      </c>
      <c r="T20" s="6">
        <v>74.7</v>
      </c>
      <c r="U20" s="6">
        <v>50.8</v>
      </c>
      <c r="V20" s="6">
        <v>3.9</v>
      </c>
      <c r="W20" s="6">
        <v>17.9</v>
      </c>
      <c r="X20" s="6">
        <v>56.8</v>
      </c>
      <c r="Y20" s="6">
        <v>8.6</v>
      </c>
      <c r="Z20" s="6">
        <v>0.87</v>
      </c>
      <c r="AA20" s="6">
        <v>74.9</v>
      </c>
      <c r="AB20" s="6"/>
      <c r="AC20" s="5">
        <v>0.105</v>
      </c>
      <c r="AD20" s="8">
        <f>J20/(1-AC20)</f>
        <v>82.2346</v>
      </c>
      <c r="AE20" s="4">
        <f>J20/(1-0.12)</f>
        <v>83.6364</v>
      </c>
      <c r="AF20" s="4">
        <f>J20/(1-0.11)</f>
        <v>82.6966</v>
      </c>
      <c r="AG20" s="4">
        <f>J20/(1-0.10)</f>
        <v>81.7778</v>
      </c>
    </row>
    <row r="21">
      <c r="A21" s="7" t="inlineStr">
        <is>
          <t xml:space="preserve">Tim</t>
        </is>
      </c>
      <c r="B21" s="7" t="inlineStr">
        <is>
          <t xml:space="preserve">2026-06-12 21:24</t>
        </is>
      </c>
      <c r="C21" s="6">
        <v>183</v>
      </c>
      <c r="D21" s="6">
        <v>19</v>
      </c>
      <c r="E21" s="7" t="inlineStr">
        <is>
          <t xml:space="preserve">Hommes</t>
        </is>
      </c>
      <c r="F21" s="6">
        <v>72.45</v>
      </c>
      <c r="G21" s="6">
        <v>21.6</v>
      </c>
      <c r="H21" s="6">
        <v>11.9</v>
      </c>
      <c r="I21" s="4">
        <f>F21*H21/100</f>
        <v>8.6216</v>
      </c>
      <c r="J21" s="6">
        <v>63.8</v>
      </c>
      <c r="K21" s="6">
        <v>60.6</v>
      </c>
      <c r="L21" s="6">
        <v>41.2</v>
      </c>
      <c r="M21" s="6">
        <v>46.1</v>
      </c>
      <c r="N21" s="6">
        <v>14.6</v>
      </c>
      <c r="O21" s="6">
        <v>3.19</v>
      </c>
      <c r="P21" s="6">
        <v>4</v>
      </c>
      <c r="Q21" s="6">
        <v>1748</v>
      </c>
      <c r="R21" s="6">
        <v>10.4</v>
      </c>
      <c r="S21" s="6">
        <v>7.53</v>
      </c>
      <c r="T21" s="6">
        <v>83.6</v>
      </c>
      <c r="U21" s="6">
        <v>56.9</v>
      </c>
      <c r="V21" s="6">
        <v>4.4</v>
      </c>
      <c r="W21" s="6">
        <v>20.1</v>
      </c>
      <c r="X21" s="6">
        <v>63.6</v>
      </c>
      <c r="Y21" s="6">
        <v>8</v>
      </c>
      <c r="Z21" s="6">
        <v>0.83</v>
      </c>
      <c r="AA21" s="6">
        <v>93</v>
      </c>
      <c r="AB21" s="6"/>
      <c r="AC21" s="5">
        <v>0.105</v>
      </c>
      <c r="AD21" s="8">
        <f>J21/(1-AC21)</f>
        <v>71.2849</v>
      </c>
      <c r="AE21" s="4">
        <f>J21/(1-0.12)</f>
        <v>72.5</v>
      </c>
      <c r="AF21" s="4">
        <f>J21/(1-0.11)</f>
        <v>71.6854</v>
      </c>
      <c r="AG21" s="4">
        <f>J21/(1-0.10)</f>
        <v>70.8889</v>
      </c>
    </row>
    <row r="22">
      <c r="A22" s="7" t="inlineStr">
        <is>
          <t xml:space="preserve">Biel</t>
        </is>
      </c>
      <c r="B22" s="7" t="inlineStr">
        <is>
          <t xml:space="preserve">2026-06-12 21:26</t>
        </is>
      </c>
      <c r="C22" s="6">
        <v>188</v>
      </c>
      <c r="D22" s="6">
        <v>19</v>
      </c>
      <c r="E22" s="7" t="inlineStr">
        <is>
          <t xml:space="preserve">Hommes</t>
        </is>
      </c>
      <c r="F22" s="6">
        <v>63.4</v>
      </c>
      <c r="G22" s="6">
        <v>17.9</v>
      </c>
      <c r="H22" s="6">
        <v>6.5</v>
      </c>
      <c r="I22" s="4">
        <f>F22*H22/100</f>
        <v>4.121</v>
      </c>
      <c r="J22" s="6">
        <v>59.3</v>
      </c>
      <c r="K22" s="6">
        <v>56.3</v>
      </c>
      <c r="L22" s="6">
        <v>38.3</v>
      </c>
      <c r="M22" s="6">
        <v>42.8</v>
      </c>
      <c r="N22" s="6">
        <v>13.5</v>
      </c>
      <c r="O22" s="6">
        <v>2.97</v>
      </c>
      <c r="P22" s="6">
        <v>1</v>
      </c>
      <c r="Q22" s="6">
        <v>1650</v>
      </c>
      <c r="R22" s="6">
        <v>6</v>
      </c>
      <c r="S22" s="6">
        <v>3.8</v>
      </c>
      <c r="T22" s="6">
        <v>88.8</v>
      </c>
      <c r="U22" s="6">
        <v>60.4</v>
      </c>
      <c r="V22" s="6">
        <v>4.7</v>
      </c>
      <c r="W22" s="6">
        <v>21.3</v>
      </c>
      <c r="X22" s="6">
        <v>67.5</v>
      </c>
      <c r="Y22" s="6">
        <v>8.3</v>
      </c>
      <c r="Z22" s="6">
        <v>0.87</v>
      </c>
      <c r="AA22" s="6">
        <v>71.4</v>
      </c>
      <c r="AB22" s="6"/>
      <c r="AC22" s="5">
        <v>0.105</v>
      </c>
      <c r="AD22" s="8">
        <f>J22/(1-AC22)</f>
        <v>66.257</v>
      </c>
      <c r="AE22" s="4">
        <f>J22/(1-0.12)</f>
        <v>67.3864</v>
      </c>
      <c r="AF22" s="4">
        <f>J22/(1-0.11)</f>
        <v>66.6292</v>
      </c>
      <c r="AG22" s="4">
        <f>J22/(1-0.10)</f>
        <v>65.8889</v>
      </c>
    </row>
    <row r="23">
      <c r="A23" s="7" t="inlineStr">
        <is>
          <t xml:space="preserve">Jules</t>
        </is>
      </c>
      <c r="B23" s="7" t="inlineStr">
        <is>
          <t xml:space="preserve">2026-06-12 21:31</t>
        </is>
      </c>
      <c r="C23" s="6">
        <v>185</v>
      </c>
      <c r="D23" s="6">
        <v>29</v>
      </c>
      <c r="E23" s="7" t="inlineStr">
        <is>
          <t xml:space="preserve">Hommes</t>
        </is>
      </c>
      <c r="F23" s="6">
        <v>80.9</v>
      </c>
      <c r="G23" s="6">
        <v>23.6</v>
      </c>
      <c r="H23" s="6">
        <v>16</v>
      </c>
      <c r="I23" s="4">
        <f>F23*H23/100</f>
        <v>12.944</v>
      </c>
      <c r="J23" s="6">
        <v>67.9</v>
      </c>
      <c r="K23" s="6">
        <v>64.6</v>
      </c>
      <c r="L23" s="6">
        <v>43.8</v>
      </c>
      <c r="M23" s="6">
        <v>49</v>
      </c>
      <c r="N23" s="6">
        <v>15.5</v>
      </c>
      <c r="O23" s="6">
        <v>3.4</v>
      </c>
      <c r="P23" s="6">
        <v>6</v>
      </c>
      <c r="Q23" s="6">
        <v>1837</v>
      </c>
      <c r="R23" s="6">
        <v>14</v>
      </c>
      <c r="S23" s="6">
        <v>11.33</v>
      </c>
      <c r="T23" s="6">
        <v>79.9</v>
      </c>
      <c r="U23" s="6">
        <v>54.2</v>
      </c>
      <c r="V23" s="6">
        <v>4.2</v>
      </c>
      <c r="W23" s="6">
        <v>19.2</v>
      </c>
      <c r="X23" s="6">
        <v>60.6</v>
      </c>
      <c r="Y23" s="6">
        <v>8.3</v>
      </c>
      <c r="Z23" s="6">
        <v>0.89</v>
      </c>
      <c r="AA23" s="6">
        <v>92.4</v>
      </c>
      <c r="AB23" s="6"/>
      <c r="AC23" s="5">
        <v>0.105</v>
      </c>
      <c r="AD23" s="8">
        <f>J23/(1-AC23)</f>
        <v>75.8659</v>
      </c>
      <c r="AE23" s="4">
        <f>J23/(1-0.12)</f>
        <v>77.1591</v>
      </c>
      <c r="AF23" s="4">
        <f>J23/(1-0.11)</f>
        <v>76.2921</v>
      </c>
      <c r="AG23" s="4">
        <f>J23/(1-0.10)</f>
        <v>75.4444</v>
      </c>
    </row>
    <row r="24">
      <c r="A24" s="6"/>
      <c r="B24" s="6"/>
      <c r="C24" s="6"/>
      <c r="D24" s="6"/>
      <c r="E24" s="6"/>
      <c r="F24" s="6"/>
      <c r="G24" s="6"/>
      <c r="H24" s="6"/>
      <c r="I24" s="4">
        <f>F24*H24/100</f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5">
        <v>0.105</v>
      </c>
      <c r="AD24" s="8">
        <f>J24/(1-AC24)</f>
      </c>
      <c r="AE24" s="4">
        <f>J24/(1-0.12)</f>
      </c>
      <c r="AF24" s="4">
        <f>J24/(1-0.11)</f>
      </c>
      <c r="AG24" s="4">
        <f>J24/(1-0.10)</f>
      </c>
    </row>
    <row r="25">
      <c r="A25" s="6"/>
      <c r="B25" s="6"/>
      <c r="C25" s="6"/>
      <c r="D25" s="6"/>
      <c r="E25" s="6"/>
      <c r="F25" s="6"/>
      <c r="G25" s="6"/>
      <c r="H25" s="6"/>
      <c r="I25" s="4">
        <f>F25*H25/100</f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5">
        <v>0.105</v>
      </c>
      <c r="AD25" s="8">
        <f>J25/(1-AC25)</f>
      </c>
      <c r="AE25" s="4">
        <f>J25/(1-0.12)</f>
      </c>
      <c r="AF25" s="4">
        <f>J25/(1-0.11)</f>
      </c>
      <c r="AG25" s="4">
        <f>J25/(1-0.10)</f>
      </c>
    </row>
    <row r="26">
      <c r="A26" s="6"/>
      <c r="B26" s="6"/>
      <c r="C26" s="6"/>
      <c r="D26" s="6"/>
      <c r="E26" s="6"/>
      <c r="F26" s="6"/>
      <c r="G26" s="6"/>
      <c r="H26" s="6"/>
      <c r="I26" s="4">
        <f>F26*H26/100</f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5">
        <v>0.105</v>
      </c>
      <c r="AD26" s="8">
        <f>J26/(1-AC26)</f>
      </c>
      <c r="AE26" s="4">
        <f>J26/(1-0.12)</f>
      </c>
      <c r="AF26" s="4">
        <f>J26/(1-0.11)</f>
      </c>
      <c r="AG26" s="4">
        <f>J26/(1-0.10)</f>
      </c>
    </row>
    <row r="27">
      <c r="A27" s="6"/>
      <c r="B27" s="6"/>
      <c r="C27" s="6"/>
      <c r="D27" s="6"/>
      <c r="E27" s="6"/>
      <c r="F27" s="6"/>
      <c r="G27" s="6"/>
      <c r="H27" s="6"/>
      <c r="I27" s="4">
        <f>F27*H27/100</f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5">
        <v>0.105</v>
      </c>
      <c r="AD27" s="8">
        <f>J27/(1-AC27)</f>
      </c>
      <c r="AE27" s="4">
        <f>J27/(1-0.12)</f>
      </c>
      <c r="AF27" s="4">
        <f>J27/(1-0.11)</f>
      </c>
      <c r="AG27" s="4">
        <f>J27/(1-0.10)</f>
      </c>
    </row>
  </sheetData>
  <mergeCells count="4">
    <mergeCell ref="A1:E1"/>
    <mergeCell ref="F1:Q1"/>
    <mergeCell ref="R1:AA1"/>
    <mergeCell ref="AC1:AG1"/>
  </mergeCells>
</worksheet>
</file>