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Joueurs" sheetId="1" r:id="rId1"/>
  </sheets>
  <calcPr calcId="0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sz val="11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>
      <alignment horizontal="center" vertical="center" wrapText="1"/>
    </xf>
    <xf numFmtId="0" fontId="2" fillId="3" borderId="1" xfId="0" applyFont="1" applyFill="1" applyBorder="1">
      <alignment horizontal="center" vertical="center"/>
    </xf>
    <xf numFmtId="164" fontId="0" fillId="4" borderId="1" xfId="0" applyNumFmt="1" applyFill="1" applyBorder="1"/>
    <xf numFmtId="165" fontId="0" fillId="0" borderId="1" xfId="0" applyNumFmt="1" applyBorder="1"/>
    <xf numFmtId="0" fontId="0" fillId="0" borderId="1" xfId="0" applyBorder="1"/>
    <xf numFmtId="0" fontId="0" fillId="4" borderId="1" xfId="0" applyFill="1" applyBorder="1"/>
    <xf numFmtId="165" fontId="3" fillId="5" borderId="1" xfId="0" applyNumFmt="1" applyFont="1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14" customWidth="1"/>
    <col min="2" max="2" width="12" customWidth="1"/>
    <col min="3" max="3" width="10" customWidth="1"/>
    <col min="4" max="4" width="7" customWidth="1"/>
    <col min="5" max="5" width="16" customWidth="1"/>
    <col min="6" max="6" width="14" customWidth="1"/>
    <col min="7" max="7" width="14" customWidth="1"/>
    <col min="8" max="8" width="16" customWidth="1"/>
    <col min="9" max="9" width="18" customWidth="1"/>
    <col min="10" max="10" width="13" customWidth="1"/>
    <col min="11" max="11" width="14" customWidth="1"/>
    <col min="12" max="12" width="12" customWidth="1"/>
    <col min="13" max="13" width="13" customWidth="1"/>
    <col min="14" max="14" width="18" customWidth="1"/>
    <col min="15" max="15" width="13" customWidth="1"/>
    <col min="16" max="16" width="16" customWidth="1"/>
    <col min="17" max="17" width="15" customWidth="1"/>
    <col min="18" max="18" width="10" customWidth="1"/>
    <col min="19" max="19" width="16" customWidth="1"/>
    <col min="20" max="20" width="14" customWidth="1"/>
    <col min="21" max="21" width="14" customWidth="1"/>
    <col min="22" max="22" width="14" customWidth="1"/>
  </cols>
  <sheetData>
    <row r="1">
      <c r="A1" s="2" t="inlineStr">
        <is>
          <t xml:space="preserve">DONNÉES ARBOLEAF (à remplir depuis le rapport)</t>
        </is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 t="inlineStr">
        <is>
          <t xml:space="preserve">TOUR DE TAILLE</t>
        </is>
      </c>
      <c r="R1" s="2" t="inlineStr">
        <is>
          <t xml:space="preserve">POIDS DE FORME (calcul automatique)</t>
        </is>
      </c>
      <c r="S1" s="2"/>
      <c r="T1" s="2"/>
      <c r="U1" s="2"/>
      <c r="V1" s="2"/>
    </row>
    <row r="2">
      <c r="A2" s="1" t="inlineStr">
        <is>
          <t xml:space="preserve">Joueur</t>
        </is>
      </c>
      <c r="B2" s="1" t="inlineStr">
        <is>
          <t xml:space="preserve">Date</t>
        </is>
      </c>
      <c r="C2" s="1" t="inlineStr">
        <is>
          <t xml:space="preserve">Poids (kg)</t>
        </is>
      </c>
      <c r="D2" s="1" t="inlineStr">
        <is>
          <t xml:space="preserve">IMC</t>
        </is>
      </c>
      <c r="E2" s="1" t="inlineStr">
        <is>
          <t xml:space="preserve">Taux de masse grasse (%)</t>
        </is>
      </c>
      <c r="F2" s="1" t="inlineStr">
        <is>
          <t xml:space="preserve">Masse grasse (kg)</t>
        </is>
      </c>
      <c r="G2" s="1" t="inlineStr">
        <is>
          <t xml:space="preserve">Masse maigre (kg)</t>
        </is>
      </c>
      <c r="H2" s="1" t="inlineStr">
        <is>
          <t xml:space="preserve">Masse musculaire (kg)</t>
        </is>
      </c>
      <c r="I2" s="1" t="inlineStr">
        <is>
          <t xml:space="preserve">Masse musc. squelettique (%)</t>
        </is>
      </c>
      <c r="J2" s="1" t="inlineStr">
        <is>
          <t xml:space="preserve">Masse osseuse (kg)</t>
        </is>
      </c>
      <c r="K2" s="1" t="inlineStr">
        <is>
          <t xml:space="preserve">Eau corporelle (%)</t>
        </is>
      </c>
      <c r="L2" s="1" t="inlineStr">
        <is>
          <t xml:space="preserve">Protéines (%)</t>
        </is>
      </c>
      <c r="M2" s="1" t="inlineStr">
        <is>
          <t xml:space="preserve">Graisse viscérale</t>
        </is>
      </c>
      <c r="N2" s="1" t="inlineStr">
        <is>
          <t xml:space="preserve">Métabolisme de base (kcal)</t>
        </is>
      </c>
      <c r="O2" s="1" t="inlineStr">
        <is>
          <t xml:space="preserve">Âge métabolique</t>
        </is>
      </c>
      <c r="P2" s="1" t="inlineStr">
        <is>
          <t xml:space="preserve">Graisse sous-cutanée (%)</t>
        </is>
      </c>
      <c r="Q2" s="1" t="inlineStr">
        <is>
          <t xml:space="preserve">Tour de taille (cm)</t>
        </is>
      </c>
      <c r="R2" s="1" t="inlineStr">
        <is>
          <t xml:space="preserve">% MG cible</t>
        </is>
      </c>
      <c r="S2" s="1" t="inlineStr">
        <is>
          <t xml:space="preserve">Poids de forme (kg)</t>
        </is>
      </c>
      <c r="T2" s="1" t="inlineStr">
        <is>
          <t xml:space="preserve">PF cible 12% (kg)</t>
        </is>
      </c>
      <c r="U2" s="1" t="inlineStr">
        <is>
          <t xml:space="preserve">PF cible 11% (kg)</t>
        </is>
      </c>
      <c r="V2" s="1" t="inlineStr">
        <is>
          <t xml:space="preserve">PF cible 10% (kg)</t>
        </is>
      </c>
    </row>
    <row r="3">
      <c r="A3" s="6" t="inlineStr">
        <is>
          <t xml:space="preserve">Pep</t>
        </is>
      </c>
      <c r="B3" s="6"/>
      <c r="C3" s="6">
        <v>77.3</v>
      </c>
      <c r="D3" s="6"/>
      <c r="E3" s="6">
        <v>13.7</v>
      </c>
      <c r="F3" s="4">
        <f>C3*E3/100</f>
        <v>10.5901</v>
      </c>
      <c r="G3" s="6">
        <v>66.6</v>
      </c>
      <c r="H3" s="6"/>
      <c r="I3" s="6"/>
      <c r="J3" s="6"/>
      <c r="K3" s="6"/>
      <c r="L3" s="6"/>
      <c r="M3" s="6"/>
      <c r="N3" s="6"/>
      <c r="O3" s="6"/>
      <c r="P3" s="6"/>
      <c r="Q3" s="6"/>
      <c r="R3" s="3">
        <v>0.115</v>
      </c>
      <c r="S3" s="7">
        <f>G3/(1-R3)</f>
        <v>75.2542</v>
      </c>
      <c r="T3" s="4">
        <f>G3/(1-0.12)</f>
        <v>75.6818</v>
      </c>
      <c r="U3" s="4">
        <f>G3/(1-0.11)</f>
        <v>74.8315</v>
      </c>
      <c r="V3" s="4">
        <f>G3/(1-0.10)</f>
        <v>74.0</v>
      </c>
    </row>
    <row r="4">
      <c r="A4" s="6"/>
      <c r="B4" s="6"/>
      <c r="C4" s="6"/>
      <c r="D4" s="6"/>
      <c r="E4" s="6"/>
      <c r="F4" s="4">
        <f>C4*E4/100</f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3">
        <v>0.115</v>
      </c>
      <c r="S4" s="7">
        <f>G4/(1-R4)</f>
      </c>
      <c r="T4" s="4">
        <f>G4/(1-0.12)</f>
      </c>
      <c r="U4" s="4">
        <f>G4/(1-0.11)</f>
      </c>
      <c r="V4" s="4">
        <f>G4/(1-0.10)</f>
      </c>
    </row>
    <row r="5">
      <c r="A5" s="6"/>
      <c r="B5" s="6"/>
      <c r="C5" s="6"/>
      <c r="D5" s="6"/>
      <c r="E5" s="6"/>
      <c r="F5" s="4">
        <f>C5*E5/100</f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3">
        <v>0.115</v>
      </c>
      <c r="S5" s="7">
        <f>G5/(1-R5)</f>
      </c>
      <c r="T5" s="4">
        <f>G5/(1-0.12)</f>
      </c>
      <c r="U5" s="4">
        <f>G5/(1-0.11)</f>
      </c>
      <c r="V5" s="4">
        <f>G5/(1-0.10)</f>
      </c>
    </row>
    <row r="6">
      <c r="A6" s="6"/>
      <c r="B6" s="6"/>
      <c r="C6" s="6"/>
      <c r="D6" s="6"/>
      <c r="E6" s="6"/>
      <c r="F6" s="4">
        <f>C6*E6/100</f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3">
        <v>0.115</v>
      </c>
      <c r="S6" s="7">
        <f>G6/(1-R6)</f>
      </c>
      <c r="T6" s="4">
        <f>G6/(1-0.12)</f>
      </c>
      <c r="U6" s="4">
        <f>G6/(1-0.11)</f>
      </c>
      <c r="V6" s="4">
        <f>G6/(1-0.10)</f>
      </c>
    </row>
    <row r="7">
      <c r="A7" s="6"/>
      <c r="B7" s="6"/>
      <c r="C7" s="6"/>
      <c r="D7" s="6"/>
      <c r="E7" s="6"/>
      <c r="F7" s="4">
        <f>C7*E7/100</f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3">
        <v>0.115</v>
      </c>
      <c r="S7" s="7">
        <f>G7/(1-R7)</f>
      </c>
      <c r="T7" s="4">
        <f>G7/(1-0.12)</f>
      </c>
      <c r="U7" s="4">
        <f>G7/(1-0.11)</f>
      </c>
      <c r="V7" s="4">
        <f>G7/(1-0.10)</f>
      </c>
    </row>
    <row r="8">
      <c r="A8" s="6"/>
      <c r="B8" s="6"/>
      <c r="C8" s="6"/>
      <c r="D8" s="6"/>
      <c r="E8" s="6"/>
      <c r="F8" s="4">
        <f>C8*E8/100</f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3">
        <v>0.115</v>
      </c>
      <c r="S8" s="7">
        <f>G8/(1-R8)</f>
      </c>
      <c r="T8" s="4">
        <f>G8/(1-0.12)</f>
      </c>
      <c r="U8" s="4">
        <f>G8/(1-0.11)</f>
      </c>
      <c r="V8" s="4">
        <f>G8/(1-0.10)</f>
      </c>
    </row>
    <row r="9">
      <c r="A9" s="6"/>
      <c r="B9" s="6"/>
      <c r="C9" s="6"/>
      <c r="D9" s="6"/>
      <c r="E9" s="6"/>
      <c r="F9" s="4">
        <f>C9*E9/100</f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3">
        <v>0.115</v>
      </c>
      <c r="S9" s="7">
        <f>G9/(1-R9)</f>
      </c>
      <c r="T9" s="4">
        <f>G9/(1-0.12)</f>
      </c>
      <c r="U9" s="4">
        <f>G9/(1-0.11)</f>
      </c>
      <c r="V9" s="4">
        <f>G9/(1-0.10)</f>
      </c>
    </row>
    <row r="10">
      <c r="A10" s="6"/>
      <c r="B10" s="6"/>
      <c r="C10" s="6"/>
      <c r="D10" s="6"/>
      <c r="E10" s="6"/>
      <c r="F10" s="4">
        <f>C10*E10/100</f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3">
        <v>0.115</v>
      </c>
      <c r="S10" s="7">
        <f>G10/(1-R10)</f>
      </c>
      <c r="T10" s="4">
        <f>G10/(1-0.12)</f>
      </c>
      <c r="U10" s="4">
        <f>G10/(1-0.11)</f>
      </c>
      <c r="V10" s="4">
        <f>G10/(1-0.10)</f>
      </c>
    </row>
    <row r="11">
      <c r="A11" s="6"/>
      <c r="B11" s="6"/>
      <c r="C11" s="6"/>
      <c r="D11" s="6"/>
      <c r="E11" s="6"/>
      <c r="F11" s="4">
        <f>C11*E11/100</f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3">
        <v>0.115</v>
      </c>
      <c r="S11" s="7">
        <f>G11/(1-R11)</f>
      </c>
      <c r="T11" s="4">
        <f>G11/(1-0.12)</f>
      </c>
      <c r="U11" s="4">
        <f>G11/(1-0.11)</f>
      </c>
      <c r="V11" s="4">
        <f>G11/(1-0.10)</f>
      </c>
    </row>
    <row r="12">
      <c r="A12" s="6"/>
      <c r="B12" s="6"/>
      <c r="C12" s="6"/>
      <c r="D12" s="6"/>
      <c r="E12" s="6"/>
      <c r="F12" s="4">
        <f>C12*E12/100</f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3">
        <v>0.115</v>
      </c>
      <c r="S12" s="7">
        <f>G12/(1-R12)</f>
      </c>
      <c r="T12" s="4">
        <f>G12/(1-0.12)</f>
      </c>
      <c r="U12" s="4">
        <f>G12/(1-0.11)</f>
      </c>
      <c r="V12" s="4">
        <f>G12/(1-0.10)</f>
      </c>
    </row>
    <row r="13">
      <c r="A13" s="6"/>
      <c r="B13" s="6"/>
      <c r="C13" s="6"/>
      <c r="D13" s="6"/>
      <c r="E13" s="6"/>
      <c r="F13" s="4">
        <f>C13*E13/100</f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3">
        <v>0.115</v>
      </c>
      <c r="S13" s="7">
        <f>G13/(1-R13)</f>
      </c>
      <c r="T13" s="4">
        <f>G13/(1-0.12)</f>
      </c>
      <c r="U13" s="4">
        <f>G13/(1-0.11)</f>
      </c>
      <c r="V13" s="4">
        <f>G13/(1-0.10)</f>
      </c>
    </row>
    <row r="14">
      <c r="A14" s="6"/>
      <c r="B14" s="6"/>
      <c r="C14" s="6"/>
      <c r="D14" s="6"/>
      <c r="E14" s="6"/>
      <c r="F14" s="4">
        <f>C14*E14/100</f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3">
        <v>0.115</v>
      </c>
      <c r="S14" s="7">
        <f>G14/(1-R14)</f>
      </c>
      <c r="T14" s="4">
        <f>G14/(1-0.12)</f>
      </c>
      <c r="U14" s="4">
        <f>G14/(1-0.11)</f>
      </c>
      <c r="V14" s="4">
        <f>G14/(1-0.10)</f>
      </c>
    </row>
    <row r="15">
      <c r="A15" s="6"/>
      <c r="B15" s="6"/>
      <c r="C15" s="6"/>
      <c r="D15" s="6"/>
      <c r="E15" s="6"/>
      <c r="F15" s="4">
        <f>C15*E15/100</f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3">
        <v>0.115</v>
      </c>
      <c r="S15" s="7">
        <f>G15/(1-R15)</f>
      </c>
      <c r="T15" s="4">
        <f>G15/(1-0.12)</f>
      </c>
      <c r="U15" s="4">
        <f>G15/(1-0.11)</f>
      </c>
      <c r="V15" s="4">
        <f>G15/(1-0.10)</f>
      </c>
    </row>
    <row r="16">
      <c r="A16" s="6"/>
      <c r="B16" s="6"/>
      <c r="C16" s="6"/>
      <c r="D16" s="6"/>
      <c r="E16" s="6"/>
      <c r="F16" s="4">
        <f>C16*E16/100</f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3">
        <v>0.115</v>
      </c>
      <c r="S16" s="7">
        <f>G16/(1-R16)</f>
      </c>
      <c r="T16" s="4">
        <f>G16/(1-0.12)</f>
      </c>
      <c r="U16" s="4">
        <f>G16/(1-0.11)</f>
      </c>
      <c r="V16" s="4">
        <f>G16/(1-0.10)</f>
      </c>
    </row>
    <row r="17">
      <c r="A17" s="6"/>
      <c r="B17" s="6"/>
      <c r="C17" s="6"/>
      <c r="D17" s="6"/>
      <c r="E17" s="6"/>
      <c r="F17" s="4">
        <f>C17*E17/100</f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3">
        <v>0.115</v>
      </c>
      <c r="S17" s="7">
        <f>G17/(1-R17)</f>
      </c>
      <c r="T17" s="4">
        <f>G17/(1-0.12)</f>
      </c>
      <c r="U17" s="4">
        <f>G17/(1-0.11)</f>
      </c>
      <c r="V17" s="4">
        <f>G17/(1-0.10)</f>
      </c>
    </row>
    <row r="18">
      <c r="A18" s="6"/>
      <c r="B18" s="6"/>
      <c r="C18" s="6"/>
      <c r="D18" s="6"/>
      <c r="E18" s="6"/>
      <c r="F18" s="4">
        <f>C18*E18/100</f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3">
        <v>0.115</v>
      </c>
      <c r="S18" s="7">
        <f>G18/(1-R18)</f>
      </c>
      <c r="T18" s="4">
        <f>G18/(1-0.12)</f>
      </c>
      <c r="U18" s="4">
        <f>G18/(1-0.11)</f>
      </c>
      <c r="V18" s="4">
        <f>G18/(1-0.10)</f>
      </c>
    </row>
    <row r="19">
      <c r="A19" s="6"/>
      <c r="B19" s="6"/>
      <c r="C19" s="6"/>
      <c r="D19" s="6"/>
      <c r="E19" s="6"/>
      <c r="F19" s="4">
        <f>C19*E19/100</f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3">
        <v>0.115</v>
      </c>
      <c r="S19" s="7">
        <f>G19/(1-R19)</f>
      </c>
      <c r="T19" s="4">
        <f>G19/(1-0.12)</f>
      </c>
      <c r="U19" s="4">
        <f>G19/(1-0.11)</f>
      </c>
      <c r="V19" s="4">
        <f>G19/(1-0.10)</f>
      </c>
    </row>
    <row r="20">
      <c r="A20" s="6"/>
      <c r="B20" s="6"/>
      <c r="C20" s="6"/>
      <c r="D20" s="6"/>
      <c r="E20" s="6"/>
      <c r="F20" s="4">
        <f>C20*E20/100</f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3">
        <v>0.115</v>
      </c>
      <c r="S20" s="7">
        <f>G20/(1-R20)</f>
      </c>
      <c r="T20" s="4">
        <f>G20/(1-0.12)</f>
      </c>
      <c r="U20" s="4">
        <f>G20/(1-0.11)</f>
      </c>
      <c r="V20" s="4">
        <f>G20/(1-0.10)</f>
      </c>
    </row>
    <row r="21">
      <c r="A21" s="6"/>
      <c r="B21" s="6"/>
      <c r="C21" s="6"/>
      <c r="D21" s="6"/>
      <c r="E21" s="6"/>
      <c r="F21" s="4">
        <f>C21*E21/100</f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3">
        <v>0.115</v>
      </c>
      <c r="S21" s="7">
        <f>G21/(1-R21)</f>
      </c>
      <c r="T21" s="4">
        <f>G21/(1-0.12)</f>
      </c>
      <c r="U21" s="4">
        <f>G21/(1-0.11)</f>
      </c>
      <c r="V21" s="4">
        <f>G21/(1-0.10)</f>
      </c>
    </row>
    <row r="22">
      <c r="A22" s="6"/>
      <c r="B22" s="6"/>
      <c r="C22" s="6"/>
      <c r="D22" s="6"/>
      <c r="E22" s="6"/>
      <c r="F22" s="4">
        <f>C22*E22/100</f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3">
        <v>0.115</v>
      </c>
      <c r="S22" s="7">
        <f>G22/(1-R22)</f>
      </c>
      <c r="T22" s="4">
        <f>G22/(1-0.12)</f>
      </c>
      <c r="U22" s="4">
        <f>G22/(1-0.11)</f>
      </c>
      <c r="V22" s="4">
        <f>G22/(1-0.10)</f>
      </c>
    </row>
    <row r="23">
      <c r="A23" s="6"/>
      <c r="B23" s="6"/>
      <c r="C23" s="6"/>
      <c r="D23" s="6"/>
      <c r="E23" s="6"/>
      <c r="F23" s="4">
        <f>C23*E23/100</f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3">
        <v>0.115</v>
      </c>
      <c r="S23" s="7">
        <f>G23/(1-R23)</f>
      </c>
      <c r="T23" s="4">
        <f>G23/(1-0.12)</f>
      </c>
      <c r="U23" s="4">
        <f>G23/(1-0.11)</f>
      </c>
      <c r="V23" s="4">
        <f>G23/(1-0.10)</f>
      </c>
    </row>
    <row r="24">
      <c r="A24" s="6"/>
      <c r="B24" s="6"/>
      <c r="C24" s="6"/>
      <c r="D24" s="6"/>
      <c r="E24" s="6"/>
      <c r="F24" s="4">
        <f>C24*E24/100</f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3">
        <v>0.115</v>
      </c>
      <c r="S24" s="7">
        <f>G24/(1-R24)</f>
      </c>
      <c r="T24" s="4">
        <f>G24/(1-0.12)</f>
      </c>
      <c r="U24" s="4">
        <f>G24/(1-0.11)</f>
      </c>
      <c r="V24" s="4">
        <f>G24/(1-0.10)</f>
      </c>
    </row>
    <row r="25">
      <c r="A25" s="6"/>
      <c r="B25" s="6"/>
      <c r="C25" s="6"/>
      <c r="D25" s="6"/>
      <c r="E25" s="6"/>
      <c r="F25" s="4">
        <f>C25*E25/100</f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3">
        <v>0.115</v>
      </c>
      <c r="S25" s="7">
        <f>G25/(1-R25)</f>
      </c>
      <c r="T25" s="4">
        <f>G25/(1-0.12)</f>
      </c>
      <c r="U25" s="4">
        <f>G25/(1-0.11)</f>
      </c>
      <c r="V25" s="4">
        <f>G25/(1-0.10)</f>
      </c>
    </row>
    <row r="26">
      <c r="A26" s="6"/>
      <c r="B26" s="6"/>
      <c r="C26" s="6"/>
      <c r="D26" s="6"/>
      <c r="E26" s="6"/>
      <c r="F26" s="4">
        <f>C26*E26/100</f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3">
        <v>0.115</v>
      </c>
      <c r="S26" s="7">
        <f>G26/(1-R26)</f>
      </c>
      <c r="T26" s="4">
        <f>G26/(1-0.12)</f>
      </c>
      <c r="U26" s="4">
        <f>G26/(1-0.11)</f>
      </c>
      <c r="V26" s="4">
        <f>G26/(1-0.10)</f>
      </c>
    </row>
    <row r="27">
      <c r="A27" s="6"/>
      <c r="B27" s="6"/>
      <c r="C27" s="6"/>
      <c r="D27" s="6"/>
      <c r="E27" s="6"/>
      <c r="F27" s="4">
        <f>C27*E27/100</f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3">
        <v>0.115</v>
      </c>
      <c r="S27" s="7">
        <f>G27/(1-R27)</f>
      </c>
      <c r="T27" s="4">
        <f>G27/(1-0.12)</f>
      </c>
      <c r="U27" s="4">
        <f>G27/(1-0.11)</f>
      </c>
      <c r="V27" s="4">
        <f>G27/(1-0.10)</f>
      </c>
    </row>
  </sheetData>
  <mergeCells count="2">
    <mergeCell ref="A1:P1"/>
    <mergeCell ref="R1:V1"/>
  </mergeCells>
</worksheet>
</file>