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Joueurs" sheetId="1" r:id="rId1"/>
  </sheets>
  <calcPr calcId="0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General"/>
  </numFmts>
  <fonts count="4">
    <font>
      <sz val="11"/>
      <name val="Calibri"/>
    </font>
    <font>
      <b/>
      <sz val="11"/>
      <color rgb="FFFFFFFF"/>
      <name val="Calibri"/>
    </font>
    <font>
      <b/>
      <sz val="12"/>
      <color rgb="FFFFFFFF"/>
      <name val="Calibri"/>
    </font>
    <font>
      <b/>
      <sz val="11"/>
      <color rgb="FF1F3864"/>
      <name val="Calibri"/>
    </font>
  </fonts>
  <fills count="8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2E8B7A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>
      <alignment horizontal="center" vertical="center" wrapText="1"/>
    </xf>
    <xf numFmtId="0" fontId="2" fillId="2" borderId="1" xfId="0" applyFont="1" applyFill="1" applyBorder="1">
      <alignment horizontal="center" vertical="center"/>
    </xf>
    <xf numFmtId="165" fontId="0" fillId="3" borderId="1" xfId="0" applyNumFmt="1" applyFill="1" applyBorder="1"/>
    <xf numFmtId="165" fontId="0" fillId="4" borderId="1" xfId="0" applyNumFmt="1" applyFill="1" applyBorder="1"/>
    <xf numFmtId="164" fontId="0" fillId="3" borderId="1" xfId="0" applyNumFmt="1" applyFill="1" applyBorder="1"/>
    <xf numFmtId="0" fontId="0" fillId="0" borderId="1" xfId="0" applyBorder="1"/>
    <xf numFmtId="0" fontId="0" fillId="3" borderId="1" xfId="0" applyFill="1" applyBorder="1"/>
    <xf numFmtId="165" fontId="3" fillId="4" borderId="1" xfId="0" applyNumFmt="1" applyFont="1" applyFill="1" applyBorder="1"/>
    <xf numFmtId="0" fontId="2" fillId="5" borderId="1" xfId="0" applyFont="1" applyFill="1" applyBorder="1">
      <alignment horizontal="center" vertical="center"/>
    </xf>
    <xf numFmtId="0" fontId="2" fillId="2" borderId="1" xfId="0" applyFont="1" applyFill="1" applyBorder="1">
      <alignment horizontal="center" vertical="center"/>
    </xf>
    <xf numFmtId="0" fontId="2" fillId="2" borderId="1" xfId="0" applyFont="1" applyFill="1" applyBorder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sheetFormatPr defaultRowHeight="15"/>
  <cols>
    <col min="1" max="1" width="16.0" customWidth="1"/>
    <col min="2" max="2" width="17.0" customWidth="1"/>
    <col min="3" max="3" width="10.1" customWidth="1"/>
    <col min="4" max="4" width="10.0" customWidth="1"/>
    <col min="5" max="5" width="10.0" customWidth="1"/>
    <col min="6" max="6" width="10.0" customWidth="1"/>
    <col min="7" max="7" width="10.1" customWidth="1"/>
    <col min="8" max="8" width="16.1" customWidth="1"/>
    <col min="9" max="9" width="19.4" customWidth="1"/>
    <col min="10" max="10" width="20.0" customWidth="1"/>
    <col min="11" max="11" width="20.0" customWidth="1"/>
    <col min="12" max="12" width="17.2" customWidth="1"/>
    <col min="13" max="13" width="17.8" customWidth="1"/>
    <col min="14" max="14" width="11.2" customWidth="1"/>
    <col min="15" max="15" width="13.9" customWidth="1"/>
    <col min="16" max="16" width="13.4" customWidth="1"/>
    <col min="17" max="17" width="20.0" customWidth="1"/>
    <col min="18" max="18" width="17.2" customWidth="1"/>
    <col min="19" max="19" width="20.0" customWidth="1"/>
    <col min="20" max="20" width="15.0" customWidth="1"/>
    <col min="21" max="21" width="20.0" customWidth="1"/>
    <col min="22" max="22" width="12.8" customWidth="1"/>
    <col min="23" max="23" width="15.6" customWidth="1"/>
    <col min="24" max="24" width="17.2" customWidth="1"/>
    <col min="25" max="25" width="10.0" customWidth="1"/>
    <col min="26" max="26" width="16.1" customWidth="1"/>
    <col min="27" max="27" width="15.6" customWidth="1"/>
    <col min="28" max="28" width="14.5" customWidth="1"/>
    <col min="29" max="29" width="16.1" customWidth="1"/>
    <col min="30" max="30" width="20.0" customWidth="1"/>
    <col min="31" max="31" width="17.2" customWidth="1"/>
    <col min="32" max="32" width="18.3" customWidth="1"/>
    <col min="33" max="33" width="18.3" customWidth="1"/>
    <col min="34" max="34" width="17.8" customWidth="1"/>
    <col min="35" max="35" width="18.9" customWidth="1"/>
    <col min="36" max="36" width="18.9" customWidth="1"/>
    <col min="37" max="37" width="15.6" customWidth="1"/>
    <col min="38" max="38" width="15.6" customWidth="1"/>
    <col min="39" max="39" width="15.0" customWidth="1"/>
    <col min="40" max="40" width="16.1" customWidth="1"/>
    <col min="41" max="41" width="16.1" customWidth="1"/>
    <col min="42" max="42" width="14.5" customWidth="1"/>
    <col min="43" max="43" width="10.0" customWidth="1"/>
    <col min="44" max="44" width="14.5" customWidth="1"/>
    <col min="45" max="45" width="13.4" customWidth="1"/>
    <col min="46" max="46" width="13.4" customWidth="1"/>
    <col min="47" max="47" width="13.4" customWidth="1"/>
  </cols>
  <sheetData>
    <row r="1">
      <c r="A1" s="2" t="inlineStr">
        <is>
          <t xml:space="preserve">IDENTITÉ</t>
        </is>
      </c>
      <c r="B1" s="2"/>
      <c r="C1" s="2"/>
      <c r="D1" s="2"/>
      <c r="E1" s="2"/>
      <c r="F1" s="9" t="inlineStr">
        <is>
          <t xml:space="preserve">COMPOSITION CORPORELLE</t>
        </is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2" t="inlineStr">
        <is>
          <t xml:space="preserve">DONNÉES SUPPLÉMENTAIRES</t>
        </is>
      </c>
      <c r="S1" s="2"/>
      <c r="T1" s="2"/>
      <c r="U1" s="2"/>
      <c r="V1" s="2"/>
      <c r="W1" s="2"/>
      <c r="X1" s="2"/>
      <c r="Y1" s="2"/>
      <c r="Z1" s="2"/>
      <c r="AA1" s="2"/>
      <c r="AB1" s="9" t="inlineStr">
        <is>
          <t xml:space="preserve">CONTRÔLE DU POIDS</t>
        </is>
      </c>
      <c r="AC1" s="9"/>
      <c r="AD1" s="9"/>
      <c r="AE1" s="9"/>
      <c r="AF1" s="2" t="inlineStr">
        <is>
          <t xml:space="preserve">ÉQUILIBRE MUSCULAIRE - SEGMENTAIRE (masse maigre)</t>
        </is>
      </c>
      <c r="AG1" s="2"/>
      <c r="AH1" s="2"/>
      <c r="AI1" s="2"/>
      <c r="AJ1" s="2"/>
      <c r="AK1" s="9" t="inlineStr">
        <is>
          <t xml:space="preserve">ANALYSE DE GRAISSE - SEGMENTAIRE</t>
        </is>
      </c>
      <c r="AL1" s="9"/>
      <c r="AM1" s="9"/>
      <c r="AN1" s="9"/>
      <c r="AO1" s="9"/>
      <c r="AP1" s="10" t="inlineStr">
        <is>
          <t xml:space="preserve">TOUR DE TAILLE</t>
        </is>
      </c>
      <c r="AQ1" s="10" t="inlineStr">
        <is>
          <t xml:space="preserve">POIDS DE FORME (calcul automatique)</t>
        </is>
      </c>
      <c r="AR1" s="10"/>
      <c r="AS1" s="10"/>
      <c r="AT1" s="10"/>
      <c r="AU1" s="10"/>
    </row>
    <row r="2">
      <c r="A2" s="1" t="inlineStr">
        <is>
          <t xml:space="preserve">Joueur (ID)</t>
        </is>
      </c>
      <c r="B2" s="1" t="inlineStr">
        <is>
          <t xml:space="preserve">Date</t>
        </is>
      </c>
      <c r="C2" s="1" t="inlineStr">
        <is>
          <t xml:space="preserve">Taille (cm)</t>
        </is>
      </c>
      <c r="D2" s="1" t="inlineStr">
        <is>
          <t xml:space="preserve">Âge</t>
        </is>
      </c>
      <c r="E2" s="1" t="inlineStr">
        <is>
          <t xml:space="preserve">Genre</t>
        </is>
      </c>
      <c r="F2" s="1" t="inlineStr">
        <is>
          <t xml:space="preserve">Poids (kg)</t>
        </is>
      </c>
      <c r="G2" s="1" t="inlineStr">
        <is>
          <t xml:space="preserve">IMC (kg/m²)</t>
        </is>
      </c>
      <c r="H2" s="1" t="inlineStr">
        <is>
          <t xml:space="preserve">Masse grasse - PBF (%)</t>
        </is>
      </c>
      <c r="I2" s="1" t="inlineStr">
        <is>
          <t xml:space="preserve">Masse grasse corporelle (kg)</t>
        </is>
      </c>
      <c r="J2" s="1" t="inlineStr">
        <is>
          <t xml:space="preserve">Masse maigre / Bloc sans graisse - LBM (kg)</t>
        </is>
      </c>
      <c r="K2" s="1" t="inlineStr">
        <is>
          <t xml:space="preserve">Morceaux de viande maigre et molle (kg)</t>
        </is>
      </c>
      <c r="L2" s="1" t="inlineStr">
        <is>
          <t xml:space="preserve">Muscle squelettique (kg)</t>
        </is>
      </c>
      <c r="M2" s="1" t="inlineStr">
        <is>
          <t xml:space="preserve">Eau corporelle totale (L)</t>
        </is>
      </c>
      <c r="N2" s="1" t="inlineStr">
        <is>
          <t xml:space="preserve">Protéine (kg)</t>
        </is>
      </c>
      <c r="O2" s="1" t="inlineStr">
        <is>
          <t xml:space="preserve">Masse osseuse (kg)</t>
        </is>
      </c>
      <c r="P2" s="1" t="inlineStr">
        <is>
          <t xml:space="preserve">Graisse viscérale</t>
        </is>
      </c>
      <c r="Q2" s="1" t="inlineStr">
        <is>
          <t xml:space="preserve">BMR - Métabolisme de base (kcal)</t>
        </is>
      </c>
      <c r="R2" s="1" t="inlineStr">
        <is>
          <t xml:space="preserve">Graisse sous-cutanée (%)</t>
        </is>
      </c>
      <c r="S2" s="1" t="inlineStr">
        <is>
          <t xml:space="preserve">Masse graisseuse sous-cutanée (kg)</t>
        </is>
      </c>
      <c r="T2" s="1" t="inlineStr">
        <is>
          <t xml:space="preserve">Ratio musculaire (%)</t>
        </is>
      </c>
      <c r="U2" s="1" t="inlineStr">
        <is>
          <t xml:space="preserve">Ratio muscle squelettique (%)</t>
        </is>
      </c>
      <c r="V2" s="1" t="inlineStr">
        <is>
          <t xml:space="preserve">Ratio osseux (%)</t>
        </is>
      </c>
      <c r="W2" s="1" t="inlineStr">
        <is>
          <t xml:space="preserve">Taux de protéines (%)</t>
        </is>
      </c>
      <c r="X2" s="1" t="inlineStr">
        <is>
          <t xml:space="preserve">Ratio eau corporelle (%)</t>
        </is>
      </c>
      <c r="Y2" s="1" t="inlineStr">
        <is>
          <t xml:space="preserve">SMI</t>
        </is>
      </c>
      <c r="Z2" s="1" t="inlineStr">
        <is>
          <t xml:space="preserve">Rapport taille-hanches</t>
        </is>
      </c>
      <c r="AA2" s="1" t="inlineStr">
        <is>
          <t xml:space="preserve">Score de santé (/100)</t>
        </is>
      </c>
      <c r="AB2" s="1" t="inlineStr">
        <is>
          <t xml:space="preserve">Poids standard (kg)</t>
        </is>
      </c>
      <c r="AC2" s="1" t="inlineStr">
        <is>
          <t xml:space="preserve">Contrôle du poids (kg)</t>
        </is>
      </c>
      <c r="AD2" s="1" t="inlineStr">
        <is>
          <t xml:space="preserve">Contrôle qualité des graisses (kg)</t>
        </is>
      </c>
      <c r="AE2" s="1" t="inlineStr">
        <is>
          <t xml:space="preserve">Contrôle musculaire (kg)</t>
        </is>
      </c>
      <c r="AF2" s="1" t="inlineStr">
        <is>
          <t xml:space="preserve">Bras G - masse maigre (kg)</t>
        </is>
      </c>
      <c r="AG2" s="1" t="inlineStr">
        <is>
          <t xml:space="preserve">Bras D - masse maigre (kg)</t>
        </is>
      </c>
      <c r="AH2" s="1" t="inlineStr">
        <is>
          <t xml:space="preserve">Tronc - masse maigre (kg)</t>
        </is>
      </c>
      <c r="AI2" s="1" t="inlineStr">
        <is>
          <t xml:space="preserve">Jambe G - masse maigre (kg)</t>
        </is>
      </c>
      <c r="AJ2" s="1" t="inlineStr">
        <is>
          <t xml:space="preserve">Jambe D - masse maigre (kg)</t>
        </is>
      </c>
      <c r="AK2" s="1" t="inlineStr">
        <is>
          <t xml:space="preserve">Bras G - graisse (kg)</t>
        </is>
      </c>
      <c r="AL2" s="1" t="inlineStr">
        <is>
          <t xml:space="preserve">Bras D - graisse (kg)</t>
        </is>
      </c>
      <c r="AM2" s="1" t="inlineStr">
        <is>
          <t xml:space="preserve">Tronc - graisse (kg)</t>
        </is>
      </c>
      <c r="AN2" s="1" t="inlineStr">
        <is>
          <t xml:space="preserve">Jambe G - graisse (kg)</t>
        </is>
      </c>
      <c r="AO2" s="1" t="inlineStr">
        <is>
          <t xml:space="preserve">Jambe D - graisse (kg)</t>
        </is>
      </c>
      <c r="AP2" s="1" t="inlineStr">
        <is>
          <t xml:space="preserve">Tour de taille (cm)</t>
        </is>
      </c>
      <c r="AQ2" s="1" t="inlineStr">
        <is>
          <t xml:space="preserve">% MG cible</t>
        </is>
      </c>
      <c r="AR2" s="1" t="inlineStr">
        <is>
          <t xml:space="preserve">Poids de forme (kg)</t>
        </is>
      </c>
      <c r="AS2" s="1" t="inlineStr">
        <is>
          <t xml:space="preserve">PF cible 12% (kg)</t>
        </is>
      </c>
      <c r="AT2" s="1" t="inlineStr">
        <is>
          <t xml:space="preserve">PF cible 11% (kg)</t>
        </is>
      </c>
      <c r="AU2" s="1" t="inlineStr">
        <is>
          <t xml:space="preserve">PF cible 10% (kg)</t>
        </is>
      </c>
    </row>
    <row r="3">
      <c r="A3" s="7" t="inlineStr">
        <is>
          <t xml:space="preserve">Matt Dubus</t>
        </is>
      </c>
      <c r="B3" s="7" t="inlineStr">
        <is>
          <t xml:space="preserve">2026-06-10 17:26</t>
        </is>
      </c>
      <c r="C3" s="3">
        <v>188</v>
      </c>
      <c r="D3" s="3">
        <v>30</v>
      </c>
      <c r="E3" s="7" t="inlineStr">
        <is>
          <t xml:space="preserve">Hommes</t>
        </is>
      </c>
      <c r="F3" s="3">
        <v>77.3</v>
      </c>
      <c r="G3" s="3">
        <v>21.9</v>
      </c>
      <c r="H3" s="3">
        <v>13.7</v>
      </c>
      <c r="I3" s="4">
        <f>F3*H3/100</f>
        <v>10.5901</v>
      </c>
      <c r="J3" s="3">
        <v>66.6</v>
      </c>
      <c r="K3" s="3">
        <v>63.31</v>
      </c>
      <c r="L3" s="3">
        <v>43</v>
      </c>
      <c r="M3" s="3">
        <v>48.1</v>
      </c>
      <c r="N3" s="3">
        <v>15.2</v>
      </c>
      <c r="O3" s="3">
        <v>3.32</v>
      </c>
      <c r="P3" s="3">
        <v>5</v>
      </c>
      <c r="Q3" s="3">
        <v>1809</v>
      </c>
      <c r="R3" s="3">
        <v>12.2</v>
      </c>
      <c r="S3" s="3">
        <v>9.43</v>
      </c>
      <c r="T3" s="3">
        <v>81.9</v>
      </c>
      <c r="U3" s="3">
        <v>55.6</v>
      </c>
      <c r="V3" s="3">
        <v>4.3</v>
      </c>
      <c r="W3" s="3">
        <v>19.7</v>
      </c>
      <c r="X3" s="3">
        <v>62.2</v>
      </c>
      <c r="Y3" s="3">
        <v>8.3</v>
      </c>
      <c r="Z3" s="3">
        <v>0.96</v>
      </c>
      <c r="AA3" s="3">
        <v>95.3</v>
      </c>
      <c r="AB3" s="3">
        <v>78.48</v>
      </c>
      <c r="AC3" s="3">
        <v>1.18</v>
      </c>
      <c r="AD3" s="3">
        <v>1.18</v>
      </c>
      <c r="AE3" s="3">
        <v>0</v>
      </c>
      <c r="AF3" s="3">
        <v>3.37</v>
      </c>
      <c r="AG3" s="3">
        <v>3.45</v>
      </c>
      <c r="AH3" s="3">
        <v>27.77</v>
      </c>
      <c r="AI3" s="3">
        <v>11.32</v>
      </c>
      <c r="AJ3" s="3">
        <v>11.31</v>
      </c>
      <c r="AK3" s="3">
        <v>0.39</v>
      </c>
      <c r="AL3" s="3">
        <v>0.41</v>
      </c>
      <c r="AM3" s="3">
        <v>5.69</v>
      </c>
      <c r="AN3" s="3">
        <v>1.96</v>
      </c>
      <c r="AO3" s="3">
        <v>2.0</v>
      </c>
      <c r="AP3" s="3"/>
      <c r="AQ3" s="5">
        <v>0.115</v>
      </c>
      <c r="AR3" s="8">
        <f>J3/(1-AQ3)</f>
        <v>75.2542</v>
      </c>
      <c r="AS3" s="4">
        <f>J3/(1-0.12)</f>
        <v>75.6818</v>
      </c>
      <c r="AT3" s="4">
        <f>J3/(1-0.11)</f>
        <v>74.8315</v>
      </c>
      <c r="AU3" s="4">
        <f>J3/(1-0.10)</f>
        <v>74.0</v>
      </c>
    </row>
    <row r="4">
      <c r="A4" s="3"/>
      <c r="B4" s="3"/>
      <c r="C4" s="3"/>
      <c r="D4" s="3"/>
      <c r="E4" s="3"/>
      <c r="F4" s="3"/>
      <c r="G4" s="3"/>
      <c r="H4" s="3"/>
      <c r="I4" s="4">
        <f>F4*H4/100</f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5">
        <v>0.115</v>
      </c>
      <c r="AR4" s="8">
        <f>J4/(1-AQ4)</f>
      </c>
      <c r="AS4" s="4">
        <f>J4/(1-0.12)</f>
      </c>
      <c r="AT4" s="4">
        <f>J4/(1-0.11)</f>
      </c>
      <c r="AU4" s="4">
        <f>J4/(1-0.10)</f>
      </c>
    </row>
    <row r="5">
      <c r="A5" s="3"/>
      <c r="B5" s="3"/>
      <c r="C5" s="3"/>
      <c r="D5" s="3"/>
      <c r="E5" s="3"/>
      <c r="F5" s="3"/>
      <c r="G5" s="3"/>
      <c r="H5" s="3"/>
      <c r="I5" s="4">
        <f>F5*H5/100</f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5">
        <v>0.115</v>
      </c>
      <c r="AR5" s="8">
        <f>J5/(1-AQ5)</f>
      </c>
      <c r="AS5" s="4">
        <f>J5/(1-0.12)</f>
      </c>
      <c r="AT5" s="4">
        <f>J5/(1-0.11)</f>
      </c>
      <c r="AU5" s="4">
        <f>J5/(1-0.10)</f>
      </c>
    </row>
    <row r="6">
      <c r="A6" s="3"/>
      <c r="B6" s="3"/>
      <c r="C6" s="3"/>
      <c r="D6" s="3"/>
      <c r="E6" s="3"/>
      <c r="F6" s="3"/>
      <c r="G6" s="3"/>
      <c r="H6" s="3"/>
      <c r="I6" s="4">
        <f>F6*H6/100</f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5">
        <v>0.115</v>
      </c>
      <c r="AR6" s="8">
        <f>J6/(1-AQ6)</f>
      </c>
      <c r="AS6" s="4">
        <f>J6/(1-0.12)</f>
      </c>
      <c r="AT6" s="4">
        <f>J6/(1-0.11)</f>
      </c>
      <c r="AU6" s="4">
        <f>J6/(1-0.10)</f>
      </c>
    </row>
    <row r="7">
      <c r="A7" s="3"/>
      <c r="B7" s="3"/>
      <c r="C7" s="3"/>
      <c r="D7" s="3"/>
      <c r="E7" s="3"/>
      <c r="F7" s="3"/>
      <c r="G7" s="3"/>
      <c r="H7" s="3"/>
      <c r="I7" s="4">
        <f>F7*H7/100</f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5">
        <v>0.115</v>
      </c>
      <c r="AR7" s="8">
        <f>J7/(1-AQ7)</f>
      </c>
      <c r="AS7" s="4">
        <f>J7/(1-0.12)</f>
      </c>
      <c r="AT7" s="4">
        <f>J7/(1-0.11)</f>
      </c>
      <c r="AU7" s="4">
        <f>J7/(1-0.10)</f>
      </c>
    </row>
    <row r="8">
      <c r="A8" s="3"/>
      <c r="B8" s="3"/>
      <c r="C8" s="3"/>
      <c r="D8" s="3"/>
      <c r="E8" s="3"/>
      <c r="F8" s="3"/>
      <c r="G8" s="3"/>
      <c r="H8" s="3"/>
      <c r="I8" s="4">
        <f>F8*H8/100</f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5">
        <v>0.115</v>
      </c>
      <c r="AR8" s="8">
        <f>J8/(1-AQ8)</f>
      </c>
      <c r="AS8" s="4">
        <f>J8/(1-0.12)</f>
      </c>
      <c r="AT8" s="4">
        <f>J8/(1-0.11)</f>
      </c>
      <c r="AU8" s="4">
        <f>J8/(1-0.10)</f>
      </c>
    </row>
    <row r="9">
      <c r="A9" s="3"/>
      <c r="B9" s="3"/>
      <c r="C9" s="3"/>
      <c r="D9" s="3"/>
      <c r="E9" s="3"/>
      <c r="F9" s="3"/>
      <c r="G9" s="3"/>
      <c r="H9" s="3"/>
      <c r="I9" s="4">
        <f>F9*H9/100</f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5">
        <v>0.115</v>
      </c>
      <c r="AR9" s="8">
        <f>J9/(1-AQ9)</f>
      </c>
      <c r="AS9" s="4">
        <f>J9/(1-0.12)</f>
      </c>
      <c r="AT9" s="4">
        <f>J9/(1-0.11)</f>
      </c>
      <c r="AU9" s="4">
        <f>J9/(1-0.10)</f>
      </c>
    </row>
    <row r="10">
      <c r="A10" s="3"/>
      <c r="B10" s="3"/>
      <c r="C10" s="3"/>
      <c r="D10" s="3"/>
      <c r="E10" s="3"/>
      <c r="F10" s="3"/>
      <c r="G10" s="3"/>
      <c r="H10" s="3"/>
      <c r="I10" s="4">
        <f>F10*H10/100</f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5">
        <v>0.115</v>
      </c>
      <c r="AR10" s="8">
        <f>J10/(1-AQ10)</f>
      </c>
      <c r="AS10" s="4">
        <f>J10/(1-0.12)</f>
      </c>
      <c r="AT10" s="4">
        <f>J10/(1-0.11)</f>
      </c>
      <c r="AU10" s="4">
        <f>J10/(1-0.10)</f>
      </c>
    </row>
    <row r="11">
      <c r="A11" s="3"/>
      <c r="B11" s="3"/>
      <c r="C11" s="3"/>
      <c r="D11" s="3"/>
      <c r="E11" s="3"/>
      <c r="F11" s="3"/>
      <c r="G11" s="3"/>
      <c r="H11" s="3"/>
      <c r="I11" s="4">
        <f>F11*H11/100</f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5">
        <v>0.115</v>
      </c>
      <c r="AR11" s="8">
        <f>J11/(1-AQ11)</f>
      </c>
      <c r="AS11" s="4">
        <f>J11/(1-0.12)</f>
      </c>
      <c r="AT11" s="4">
        <f>J11/(1-0.11)</f>
      </c>
      <c r="AU11" s="4">
        <f>J11/(1-0.10)</f>
      </c>
    </row>
    <row r="12">
      <c r="A12" s="3"/>
      <c r="B12" s="3"/>
      <c r="C12" s="3"/>
      <c r="D12" s="3"/>
      <c r="E12" s="3"/>
      <c r="F12" s="3"/>
      <c r="G12" s="3"/>
      <c r="H12" s="3"/>
      <c r="I12" s="4">
        <f>F12*H12/100</f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5">
        <v>0.115</v>
      </c>
      <c r="AR12" s="8">
        <f>J12/(1-AQ12)</f>
      </c>
      <c r="AS12" s="4">
        <f>J12/(1-0.12)</f>
      </c>
      <c r="AT12" s="4">
        <f>J12/(1-0.11)</f>
      </c>
      <c r="AU12" s="4">
        <f>J12/(1-0.10)</f>
      </c>
    </row>
    <row r="13">
      <c r="A13" s="3"/>
      <c r="B13" s="3"/>
      <c r="C13" s="3"/>
      <c r="D13" s="3"/>
      <c r="E13" s="3"/>
      <c r="F13" s="3"/>
      <c r="G13" s="3"/>
      <c r="H13" s="3"/>
      <c r="I13" s="4">
        <f>F13*H13/100</f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5">
        <v>0.115</v>
      </c>
      <c r="AR13" s="8">
        <f>J13/(1-AQ13)</f>
      </c>
      <c r="AS13" s="4">
        <f>J13/(1-0.12)</f>
      </c>
      <c r="AT13" s="4">
        <f>J13/(1-0.11)</f>
      </c>
      <c r="AU13" s="4">
        <f>J13/(1-0.10)</f>
      </c>
    </row>
    <row r="14">
      <c r="A14" s="3"/>
      <c r="B14" s="3"/>
      <c r="C14" s="3"/>
      <c r="D14" s="3"/>
      <c r="E14" s="3"/>
      <c r="F14" s="3"/>
      <c r="G14" s="3"/>
      <c r="H14" s="3"/>
      <c r="I14" s="4">
        <f>F14*H14/100</f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5">
        <v>0.115</v>
      </c>
      <c r="AR14" s="8">
        <f>J14/(1-AQ14)</f>
      </c>
      <c r="AS14" s="4">
        <f>J14/(1-0.12)</f>
      </c>
      <c r="AT14" s="4">
        <f>J14/(1-0.11)</f>
      </c>
      <c r="AU14" s="4">
        <f>J14/(1-0.10)</f>
      </c>
    </row>
    <row r="15">
      <c r="A15" s="3"/>
      <c r="B15" s="3"/>
      <c r="C15" s="3"/>
      <c r="D15" s="3"/>
      <c r="E15" s="3"/>
      <c r="F15" s="3"/>
      <c r="G15" s="3"/>
      <c r="H15" s="3"/>
      <c r="I15" s="4">
        <f>F15*H15/100</f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5">
        <v>0.115</v>
      </c>
      <c r="AR15" s="8">
        <f>J15/(1-AQ15)</f>
      </c>
      <c r="AS15" s="4">
        <f>J15/(1-0.12)</f>
      </c>
      <c r="AT15" s="4">
        <f>J15/(1-0.11)</f>
      </c>
      <c r="AU15" s="4">
        <f>J15/(1-0.10)</f>
      </c>
    </row>
    <row r="16">
      <c r="A16" s="3"/>
      <c r="B16" s="3"/>
      <c r="C16" s="3"/>
      <c r="D16" s="3"/>
      <c r="E16" s="3"/>
      <c r="F16" s="3"/>
      <c r="G16" s="3"/>
      <c r="H16" s="3"/>
      <c r="I16" s="4">
        <f>F16*H16/100</f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5">
        <v>0.115</v>
      </c>
      <c r="AR16" s="8">
        <f>J16/(1-AQ16)</f>
      </c>
      <c r="AS16" s="4">
        <f>J16/(1-0.12)</f>
      </c>
      <c r="AT16" s="4">
        <f>J16/(1-0.11)</f>
      </c>
      <c r="AU16" s="4">
        <f>J16/(1-0.10)</f>
      </c>
    </row>
    <row r="17">
      <c r="A17" s="3"/>
      <c r="B17" s="3"/>
      <c r="C17" s="3"/>
      <c r="D17" s="3"/>
      <c r="E17" s="3"/>
      <c r="F17" s="3"/>
      <c r="G17" s="3"/>
      <c r="H17" s="3"/>
      <c r="I17" s="4">
        <f>F17*H17/100</f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5">
        <v>0.115</v>
      </c>
      <c r="AR17" s="8">
        <f>J17/(1-AQ17)</f>
      </c>
      <c r="AS17" s="4">
        <f>J17/(1-0.12)</f>
      </c>
      <c r="AT17" s="4">
        <f>J17/(1-0.11)</f>
      </c>
      <c r="AU17" s="4">
        <f>J17/(1-0.10)</f>
      </c>
    </row>
    <row r="18">
      <c r="A18" s="3"/>
      <c r="B18" s="3"/>
      <c r="C18" s="3"/>
      <c r="D18" s="3"/>
      <c r="E18" s="3"/>
      <c r="F18" s="3"/>
      <c r="G18" s="3"/>
      <c r="H18" s="3"/>
      <c r="I18" s="4">
        <f>F18*H18/100</f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5">
        <v>0.115</v>
      </c>
      <c r="AR18" s="8">
        <f>J18/(1-AQ18)</f>
      </c>
      <c r="AS18" s="4">
        <f>J18/(1-0.12)</f>
      </c>
      <c r="AT18" s="4">
        <f>J18/(1-0.11)</f>
      </c>
      <c r="AU18" s="4">
        <f>J18/(1-0.10)</f>
      </c>
    </row>
    <row r="19">
      <c r="A19" s="3"/>
      <c r="B19" s="3"/>
      <c r="C19" s="3"/>
      <c r="D19" s="3"/>
      <c r="E19" s="3"/>
      <c r="F19" s="3"/>
      <c r="G19" s="3"/>
      <c r="H19" s="3"/>
      <c r="I19" s="4">
        <f>F19*H19/100</f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5">
        <v>0.115</v>
      </c>
      <c r="AR19" s="8">
        <f>J19/(1-AQ19)</f>
      </c>
      <c r="AS19" s="4">
        <f>J19/(1-0.12)</f>
      </c>
      <c r="AT19" s="4">
        <f>J19/(1-0.11)</f>
      </c>
      <c r="AU19" s="4">
        <f>J19/(1-0.10)</f>
      </c>
    </row>
    <row r="20">
      <c r="A20" s="3"/>
      <c r="B20" s="3"/>
      <c r="C20" s="3"/>
      <c r="D20" s="3"/>
      <c r="E20" s="3"/>
      <c r="F20" s="3"/>
      <c r="G20" s="3"/>
      <c r="H20" s="3"/>
      <c r="I20" s="4">
        <f>F20*H20/100</f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5">
        <v>0.115</v>
      </c>
      <c r="AR20" s="8">
        <f>J20/(1-AQ20)</f>
      </c>
      <c r="AS20" s="4">
        <f>J20/(1-0.12)</f>
      </c>
      <c r="AT20" s="4">
        <f>J20/(1-0.11)</f>
      </c>
      <c r="AU20" s="4">
        <f>J20/(1-0.10)</f>
      </c>
    </row>
    <row r="21">
      <c r="A21" s="3"/>
      <c r="B21" s="3"/>
      <c r="C21" s="3"/>
      <c r="D21" s="3"/>
      <c r="E21" s="3"/>
      <c r="F21" s="3"/>
      <c r="G21" s="3"/>
      <c r="H21" s="3"/>
      <c r="I21" s="4">
        <f>F21*H21/100</f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5">
        <v>0.115</v>
      </c>
      <c r="AR21" s="8">
        <f>J21/(1-AQ21)</f>
      </c>
      <c r="AS21" s="4">
        <f>J21/(1-0.12)</f>
      </c>
      <c r="AT21" s="4">
        <f>J21/(1-0.11)</f>
      </c>
      <c r="AU21" s="4">
        <f>J21/(1-0.10)</f>
      </c>
    </row>
    <row r="22">
      <c r="A22" s="3"/>
      <c r="B22" s="3"/>
      <c r="C22" s="3"/>
      <c r="D22" s="3"/>
      <c r="E22" s="3"/>
      <c r="F22" s="3"/>
      <c r="G22" s="3"/>
      <c r="H22" s="3"/>
      <c r="I22" s="4">
        <f>F22*H22/100</f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5">
        <v>0.115</v>
      </c>
      <c r="AR22" s="8">
        <f>J22/(1-AQ22)</f>
      </c>
      <c r="AS22" s="4">
        <f>J22/(1-0.12)</f>
      </c>
      <c r="AT22" s="4">
        <f>J22/(1-0.11)</f>
      </c>
      <c r="AU22" s="4">
        <f>J22/(1-0.10)</f>
      </c>
    </row>
    <row r="23">
      <c r="A23" s="3"/>
      <c r="B23" s="3"/>
      <c r="C23" s="3"/>
      <c r="D23" s="3"/>
      <c r="E23" s="3"/>
      <c r="F23" s="3"/>
      <c r="G23" s="3"/>
      <c r="H23" s="3"/>
      <c r="I23" s="4">
        <f>F23*H23/100</f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5">
        <v>0.115</v>
      </c>
      <c r="AR23" s="8">
        <f>J23/(1-AQ23)</f>
      </c>
      <c r="AS23" s="4">
        <f>J23/(1-0.12)</f>
      </c>
      <c r="AT23" s="4">
        <f>J23/(1-0.11)</f>
      </c>
      <c r="AU23" s="4">
        <f>J23/(1-0.10)</f>
      </c>
    </row>
    <row r="24">
      <c r="A24" s="3"/>
      <c r="B24" s="3"/>
      <c r="C24" s="3"/>
      <c r="D24" s="3"/>
      <c r="E24" s="3"/>
      <c r="F24" s="3"/>
      <c r="G24" s="3"/>
      <c r="H24" s="3"/>
      <c r="I24" s="4">
        <f>F24*H24/100</f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5">
        <v>0.115</v>
      </c>
      <c r="AR24" s="8">
        <f>J24/(1-AQ24)</f>
      </c>
      <c r="AS24" s="4">
        <f>J24/(1-0.12)</f>
      </c>
      <c r="AT24" s="4">
        <f>J24/(1-0.11)</f>
      </c>
      <c r="AU24" s="4">
        <f>J24/(1-0.10)</f>
      </c>
    </row>
    <row r="25">
      <c r="A25" s="3"/>
      <c r="B25" s="3"/>
      <c r="C25" s="3"/>
      <c r="D25" s="3"/>
      <c r="E25" s="3"/>
      <c r="F25" s="3"/>
      <c r="G25" s="3"/>
      <c r="H25" s="3"/>
      <c r="I25" s="4">
        <f>F25*H25/100</f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5">
        <v>0.115</v>
      </c>
      <c r="AR25" s="8">
        <f>J25/(1-AQ25)</f>
      </c>
      <c r="AS25" s="4">
        <f>J25/(1-0.12)</f>
      </c>
      <c r="AT25" s="4">
        <f>J25/(1-0.11)</f>
      </c>
      <c r="AU25" s="4">
        <f>J25/(1-0.10)</f>
      </c>
    </row>
    <row r="26">
      <c r="A26" s="3"/>
      <c r="B26" s="3"/>
      <c r="C26" s="3"/>
      <c r="D26" s="3"/>
      <c r="E26" s="3"/>
      <c r="F26" s="3"/>
      <c r="G26" s="3"/>
      <c r="H26" s="3"/>
      <c r="I26" s="4">
        <f>F26*H26/100</f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5">
        <v>0.115</v>
      </c>
      <c r="AR26" s="8">
        <f>J26/(1-AQ26)</f>
      </c>
      <c r="AS26" s="4">
        <f>J26/(1-0.12)</f>
      </c>
      <c r="AT26" s="4">
        <f>J26/(1-0.11)</f>
      </c>
      <c r="AU26" s="4">
        <f>J26/(1-0.10)</f>
      </c>
    </row>
    <row r="27">
      <c r="A27" s="3"/>
      <c r="B27" s="3"/>
      <c r="C27" s="3"/>
      <c r="D27" s="3"/>
      <c r="E27" s="3"/>
      <c r="F27" s="3"/>
      <c r="G27" s="3"/>
      <c r="H27" s="3"/>
      <c r="I27" s="4">
        <f>F27*H27/100</f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5">
        <v>0.115</v>
      </c>
      <c r="AR27" s="8">
        <f>J27/(1-AQ27)</f>
      </c>
      <c r="AS27" s="4">
        <f>J27/(1-0.12)</f>
      </c>
      <c r="AT27" s="4">
        <f>J27/(1-0.11)</f>
      </c>
      <c r="AU27" s="4">
        <f>J27/(1-0.10)</f>
      </c>
    </row>
  </sheetData>
  <mergeCells count="7">
    <mergeCell ref="A1:E1"/>
    <mergeCell ref="F1:Q1"/>
    <mergeCell ref="R1:AA1"/>
    <mergeCell ref="AB1:AE1"/>
    <mergeCell ref="AF1:AJ1"/>
    <mergeCell ref="AK1:AO1"/>
    <mergeCell ref="AQ1:AU1"/>
  </mergeCells>
</worksheet>
</file>